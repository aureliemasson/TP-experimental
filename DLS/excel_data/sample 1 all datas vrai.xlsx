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a Mourot\git\TP-experimental\DLS\excel_data\"/>
    </mc:Choice>
  </mc:AlternateContent>
  <xr:revisionPtr revIDLastSave="0" documentId="13_ncr:1_{D701AA16-3AC5-4A23-AFCE-386E14CDE879}" xr6:coauthVersionLast="47" xr6:coauthVersionMax="47" xr10:uidLastSave="{00000000-0000-0000-0000-000000000000}"/>
  <bookViews>
    <workbookView xWindow="-120" yWindow="-120" windowWidth="29040" windowHeight="15720" activeTab="2" xr2:uid="{E09FB69B-A8C6-41F8-88C1-763E2EFA2CE6}"/>
  </bookViews>
  <sheets>
    <sheet name="size intensity" sheetId="1" r:id="rId1"/>
    <sheet name="size number" sheetId="4" r:id="rId2"/>
    <sheet name="volume size" sheetId="3" r:id="rId3"/>
    <sheet name="autocorrelation" sheetId="2" r:id="rId4"/>
  </sheets>
  <externalReferences>
    <externalReference r:id="rId5"/>
  </externalReferences>
  <definedNames>
    <definedName name="solver_adj" localSheetId="3" hidden="1">autocorrelation!$J$2:$J$8</definedName>
    <definedName name="solver_adj" localSheetId="0" hidden="1">'size intensity'!$L$8:$L$10</definedName>
    <definedName name="solver_adj" localSheetId="1" hidden="1">'size number'!$L$2:$L$4</definedName>
    <definedName name="solver_adj" localSheetId="2" hidden="1">'volume size'!$L$2:$L$4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3" hidden="1">0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3" hidden="1">autocorrelation!$J$9</definedName>
    <definedName name="solver_opt" localSheetId="0" hidden="1">'size intensity'!$L$11</definedName>
    <definedName name="solver_opt" localSheetId="1" hidden="1">'size number'!$L$5</definedName>
    <definedName name="solver_opt" localSheetId="2" hidden="1">'volume size'!$L$5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3" hidden="1">2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3" hidden="1">3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2" i="4"/>
  <c r="G2" i="4" s="1"/>
  <c r="F2" i="3"/>
  <c r="H2" i="3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2" i="4"/>
  <c r="F36" i="3"/>
  <c r="H36" i="3" s="1"/>
  <c r="F37" i="3"/>
  <c r="H37" i="3" s="1"/>
  <c r="F38" i="3"/>
  <c r="H38" i="3" s="1"/>
  <c r="F39" i="3"/>
  <c r="H39" i="3" s="1"/>
  <c r="F40" i="3"/>
  <c r="H40" i="3" s="1"/>
  <c r="F41" i="3"/>
  <c r="H41" i="3" s="1"/>
  <c r="F42" i="3"/>
  <c r="H42" i="3" s="1"/>
  <c r="F43" i="3"/>
  <c r="H43" i="3" s="1"/>
  <c r="F44" i="3"/>
  <c r="H44" i="3" s="1"/>
  <c r="F45" i="3"/>
  <c r="H45" i="3" s="1"/>
  <c r="F46" i="3"/>
  <c r="H46" i="3" s="1"/>
  <c r="F47" i="3"/>
  <c r="H47" i="3" s="1"/>
  <c r="F48" i="3"/>
  <c r="H48" i="3" s="1"/>
  <c r="F49" i="3"/>
  <c r="H49" i="3" s="1"/>
  <c r="F50" i="3"/>
  <c r="H50" i="3" s="1"/>
  <c r="F51" i="3"/>
  <c r="H51" i="3" s="1"/>
  <c r="F52" i="3"/>
  <c r="H52" i="3" s="1"/>
  <c r="F53" i="3"/>
  <c r="H53" i="3" s="1"/>
  <c r="F54" i="3"/>
  <c r="H54" i="3" s="1"/>
  <c r="F55" i="3"/>
  <c r="H55" i="3" s="1"/>
  <c r="F56" i="3"/>
  <c r="H56" i="3" s="1"/>
  <c r="F57" i="3"/>
  <c r="H57" i="3" s="1"/>
  <c r="F58" i="3"/>
  <c r="H58" i="3" s="1"/>
  <c r="F59" i="3"/>
  <c r="H59" i="3" s="1"/>
  <c r="F60" i="3"/>
  <c r="H60" i="3" s="1"/>
  <c r="F61" i="3"/>
  <c r="H61" i="3" s="1"/>
  <c r="F62" i="3"/>
  <c r="H62" i="3" s="1"/>
  <c r="F63" i="3"/>
  <c r="H63" i="3" s="1"/>
  <c r="F64" i="3"/>
  <c r="H64" i="3" s="1"/>
  <c r="F65" i="3"/>
  <c r="H65" i="3" s="1"/>
  <c r="F66" i="3"/>
  <c r="H66" i="3" s="1"/>
  <c r="F67" i="3"/>
  <c r="H67" i="3" s="1"/>
  <c r="F68" i="3"/>
  <c r="H68" i="3" s="1"/>
  <c r="F69" i="3"/>
  <c r="H69" i="3" s="1"/>
  <c r="F70" i="3"/>
  <c r="H70" i="3" s="1"/>
  <c r="F71" i="3"/>
  <c r="H71" i="3" s="1"/>
  <c r="I35" i="3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G53" i="3"/>
  <c r="I53" i="3" s="1"/>
  <c r="G54" i="3"/>
  <c r="I54" i="3" s="1"/>
  <c r="G55" i="3"/>
  <c r="I55" i="3" s="1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F3" i="3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32" i="3"/>
  <c r="H32" i="3" s="1"/>
  <c r="F33" i="3"/>
  <c r="H33" i="3" s="1"/>
  <c r="F34" i="3"/>
  <c r="H34" i="3" s="1"/>
  <c r="F35" i="3"/>
  <c r="H35" i="3" s="1"/>
  <c r="G36" i="3"/>
  <c r="I36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F3" i="2"/>
  <c r="F4" i="2"/>
  <c r="F5" i="2"/>
  <c r="F6" i="2"/>
  <c r="F7" i="2"/>
  <c r="F8" i="2"/>
  <c r="F9" i="2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2" i="2"/>
  <c r="G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2" i="2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27" i="1"/>
  <c r="F27" i="1" s="1"/>
  <c r="H27" i="1" s="1"/>
  <c r="E28" i="1"/>
  <c r="F28" i="1" s="1"/>
  <c r="H28" i="1" s="1"/>
  <c r="E29" i="1"/>
  <c r="F29" i="1" s="1"/>
  <c r="H29" i="1" s="1"/>
  <c r="E30" i="1"/>
  <c r="F30" i="1" s="1"/>
  <c r="H30" i="1" s="1"/>
  <c r="E31" i="1"/>
  <c r="F31" i="1" s="1"/>
  <c r="H31" i="1" s="1"/>
  <c r="E32" i="1"/>
  <c r="F32" i="1" s="1"/>
  <c r="H32" i="1" s="1"/>
  <c r="E33" i="1"/>
  <c r="F33" i="1" s="1"/>
  <c r="H33" i="1" s="1"/>
  <c r="E34" i="1"/>
  <c r="F34" i="1" s="1"/>
  <c r="H34" i="1" s="1"/>
  <c r="E35" i="1"/>
  <c r="F35" i="1" s="1"/>
  <c r="H35" i="1" s="1"/>
  <c r="E36" i="1"/>
  <c r="G36" i="1" s="1"/>
  <c r="I36" i="1" s="1"/>
  <c r="E37" i="1"/>
  <c r="G37" i="1" s="1"/>
  <c r="I37" i="1" s="1"/>
  <c r="E38" i="1"/>
  <c r="G38" i="1" s="1"/>
  <c r="I38" i="1" s="1"/>
  <c r="E39" i="1"/>
  <c r="G39" i="1" s="1"/>
  <c r="I39" i="1" s="1"/>
  <c r="E40" i="1"/>
  <c r="G40" i="1" s="1"/>
  <c r="I40" i="1" s="1"/>
  <c r="E41" i="1"/>
  <c r="G41" i="1" s="1"/>
  <c r="I41" i="1" s="1"/>
  <c r="E42" i="1"/>
  <c r="G42" i="1" s="1"/>
  <c r="I42" i="1" s="1"/>
  <c r="E43" i="1"/>
  <c r="G43" i="1" s="1"/>
  <c r="I43" i="1" s="1"/>
  <c r="E44" i="1"/>
  <c r="G44" i="1" s="1"/>
  <c r="I44" i="1" s="1"/>
  <c r="E45" i="1"/>
  <c r="G45" i="1" s="1"/>
  <c r="I45" i="1" s="1"/>
  <c r="E46" i="1"/>
  <c r="G46" i="1" s="1"/>
  <c r="I46" i="1" s="1"/>
  <c r="E47" i="1"/>
  <c r="G47" i="1" s="1"/>
  <c r="I47" i="1" s="1"/>
  <c r="E48" i="1"/>
  <c r="G48" i="1" s="1"/>
  <c r="I48" i="1" s="1"/>
  <c r="E49" i="1"/>
  <c r="G49" i="1" s="1"/>
  <c r="I49" i="1" s="1"/>
  <c r="E50" i="1"/>
  <c r="G50" i="1" s="1"/>
  <c r="I50" i="1" s="1"/>
  <c r="E51" i="1"/>
  <c r="G51" i="1" s="1"/>
  <c r="I51" i="1" s="1"/>
  <c r="E52" i="1"/>
  <c r="G52" i="1" s="1"/>
  <c r="I52" i="1" s="1"/>
  <c r="E53" i="1"/>
  <c r="G53" i="1" s="1"/>
  <c r="I53" i="1" s="1"/>
  <c r="E54" i="1"/>
  <c r="G54" i="1" s="1"/>
  <c r="I54" i="1" s="1"/>
  <c r="E55" i="1"/>
  <c r="G55" i="1" s="1"/>
  <c r="I55" i="1" s="1"/>
  <c r="E56" i="1"/>
  <c r="G56" i="1" s="1"/>
  <c r="I56" i="1" s="1"/>
  <c r="E57" i="1"/>
  <c r="G57" i="1" s="1"/>
  <c r="I57" i="1" s="1"/>
  <c r="E58" i="1"/>
  <c r="G58" i="1" s="1"/>
  <c r="I58" i="1" s="1"/>
  <c r="E59" i="1"/>
  <c r="G59" i="1" s="1"/>
  <c r="I59" i="1" s="1"/>
  <c r="E60" i="1"/>
  <c r="G60" i="1" s="1"/>
  <c r="I60" i="1" s="1"/>
  <c r="E61" i="1"/>
  <c r="G61" i="1" s="1"/>
  <c r="I61" i="1" s="1"/>
  <c r="E62" i="1"/>
  <c r="G62" i="1" s="1"/>
  <c r="I62" i="1" s="1"/>
  <c r="E63" i="1"/>
  <c r="G63" i="1" s="1"/>
  <c r="I63" i="1" s="1"/>
  <c r="E64" i="1"/>
  <c r="G64" i="1" s="1"/>
  <c r="I64" i="1" s="1"/>
  <c r="E65" i="1"/>
  <c r="G65" i="1" s="1"/>
  <c r="I65" i="1" s="1"/>
  <c r="E66" i="1"/>
  <c r="G66" i="1" s="1"/>
  <c r="I66" i="1" s="1"/>
  <c r="E67" i="1"/>
  <c r="G67" i="1" s="1"/>
  <c r="I67" i="1" s="1"/>
  <c r="E68" i="1"/>
  <c r="G68" i="1" s="1"/>
  <c r="I68" i="1" s="1"/>
  <c r="E69" i="1"/>
  <c r="G69" i="1" s="1"/>
  <c r="I69" i="1" s="1"/>
  <c r="E70" i="1"/>
  <c r="G70" i="1" s="1"/>
  <c r="I70" i="1" s="1"/>
  <c r="E71" i="1"/>
  <c r="G71" i="1" s="1"/>
  <c r="I71" i="1" s="1"/>
  <c r="E2" i="1"/>
  <c r="F2" i="1" s="1"/>
  <c r="L5" i="3" l="1"/>
  <c r="L5" i="4"/>
  <c r="G35" i="1"/>
  <c r="L11" i="3"/>
  <c r="H2" i="1"/>
  <c r="L11" i="1"/>
  <c r="L5" i="1"/>
  <c r="G9" i="2"/>
  <c r="G6" i="2"/>
  <c r="G5" i="2"/>
  <c r="G8" i="2"/>
  <c r="G4" i="2"/>
  <c r="G7" i="2"/>
  <c r="G3" i="2"/>
  <c r="J9" i="2" l="1"/>
</calcChain>
</file>

<file path=xl/sharedStrings.xml><?xml version="1.0" encoding="utf-8"?>
<sst xmlns="http://schemas.openxmlformats.org/spreadsheetml/2006/main" count="66" uniqueCount="41">
  <si>
    <t>Size (d.nm) - Sample 1 [Steady state] test1</t>
  </si>
  <si>
    <t>Intensity (Percent) - Sample 1 [Steady state] test1</t>
  </si>
  <si>
    <t>Intensity (Percent) - Sample 1 [Steady state] test2</t>
  </si>
  <si>
    <t>Intensity (Percent) - Sample 1 [Steady state] test3</t>
  </si>
  <si>
    <t>Time (µs) - Sample 1 [Steady state] test1</t>
  </si>
  <si>
    <t>Correlation Coefficient (g₂-1) - Sample 1 [Steady state] test1</t>
  </si>
  <si>
    <t>Correlation Coefficient (g₂-1) - Sample 1 [Steady state] test2</t>
  </si>
  <si>
    <t>Correlation Coefficient (g₂-1) - Sample 1 [Steady state] test3</t>
  </si>
  <si>
    <t>Volume (Percent) - Sample 1 [Steady state] test2</t>
  </si>
  <si>
    <t>Volume (Percent) - Sample 1 [Steady state] test1</t>
  </si>
  <si>
    <t>Volume (Percent) - Sample 1 [Steady state] test3</t>
  </si>
  <si>
    <t>Number (Percent) - Sample 1 [Steady state] test1</t>
  </si>
  <si>
    <t>Number (Percent) - Sample 1 [Steady state] test2</t>
  </si>
  <si>
    <t>Number (Percent) - Sample 1 [Steady state] test3</t>
  </si>
  <si>
    <t>mean intensity</t>
  </si>
  <si>
    <t>fit peak 1</t>
  </si>
  <si>
    <t>fit peak 2</t>
  </si>
  <si>
    <t>mu</t>
  </si>
  <si>
    <t>fitting constants</t>
  </si>
  <si>
    <t>A</t>
  </si>
  <si>
    <t>sigma</t>
  </si>
  <si>
    <t>fitting constants peak1</t>
  </si>
  <si>
    <t>fitting constants peak 2</t>
  </si>
  <si>
    <t>residual 1</t>
  </si>
  <si>
    <t>residual2</t>
  </si>
  <si>
    <t>SSR</t>
  </si>
  <si>
    <t>mean</t>
  </si>
  <si>
    <t>fit</t>
  </si>
  <si>
    <t>residual^2</t>
  </si>
  <si>
    <t>fitting parameters</t>
  </si>
  <si>
    <t>B</t>
  </si>
  <si>
    <t>C</t>
  </si>
  <si>
    <t>D</t>
  </si>
  <si>
    <t>E</t>
  </si>
  <si>
    <t>F</t>
  </si>
  <si>
    <t>G</t>
  </si>
  <si>
    <t>R^2</t>
  </si>
  <si>
    <t>fit 1</t>
  </si>
  <si>
    <t>fit 2</t>
  </si>
  <si>
    <t>R^2 1</t>
  </si>
  <si>
    <t>R^2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</si>
</sst>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61265647010917"/>
          <c:y val="7.1541158027899704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1"/>
          <c:tx>
            <c:v>fit peak 1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'size intensity'!$A$2:$A$35</c:f>
              <c:numCache>
                <c:formatCode>General</c:formatCode>
                <c:ptCount val="34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</c:numCache>
            </c:numRef>
          </c:xVal>
          <c:yVal>
            <c:numRef>
              <c:f>'size intensity'!$F$2:$F$35</c:f>
              <c:numCache>
                <c:formatCode>General</c:formatCode>
                <c:ptCount val="34"/>
                <c:pt idx="0">
                  <c:v>0.24000799206810947</c:v>
                </c:pt>
                <c:pt idx="1">
                  <c:v>0.24000799206810947</c:v>
                </c:pt>
                <c:pt idx="2">
                  <c:v>0.24000799206810947</c:v>
                </c:pt>
                <c:pt idx="3">
                  <c:v>0.24000799206810947</c:v>
                </c:pt>
                <c:pt idx="4">
                  <c:v>0.24000799206810947</c:v>
                </c:pt>
                <c:pt idx="5">
                  <c:v>0.24000799206810947</c:v>
                </c:pt>
                <c:pt idx="6">
                  <c:v>0.24000799206810947</c:v>
                </c:pt>
                <c:pt idx="7">
                  <c:v>0.24000799206810947</c:v>
                </c:pt>
                <c:pt idx="8">
                  <c:v>0.24000799206810947</c:v>
                </c:pt>
                <c:pt idx="9">
                  <c:v>0.24000799206810947</c:v>
                </c:pt>
                <c:pt idx="10">
                  <c:v>0.24000799206810947</c:v>
                </c:pt>
                <c:pt idx="11">
                  <c:v>0.24000799206810947</c:v>
                </c:pt>
                <c:pt idx="12">
                  <c:v>0.24000799206810947</c:v>
                </c:pt>
                <c:pt idx="13">
                  <c:v>0.24000799206810947</c:v>
                </c:pt>
                <c:pt idx="14">
                  <c:v>0.24000799206810947</c:v>
                </c:pt>
                <c:pt idx="15">
                  <c:v>0.24000799206810947</c:v>
                </c:pt>
                <c:pt idx="16">
                  <c:v>0.24000799206810947</c:v>
                </c:pt>
                <c:pt idx="17">
                  <c:v>0.24000799206810947</c:v>
                </c:pt>
                <c:pt idx="18">
                  <c:v>0.24000799206810947</c:v>
                </c:pt>
                <c:pt idx="19">
                  <c:v>0.24000799206810947</c:v>
                </c:pt>
                <c:pt idx="20">
                  <c:v>0.24000799206810947</c:v>
                </c:pt>
                <c:pt idx="21">
                  <c:v>0.24000799206810947</c:v>
                </c:pt>
                <c:pt idx="22">
                  <c:v>0.24000799206810947</c:v>
                </c:pt>
                <c:pt idx="23">
                  <c:v>0.71696735849399817</c:v>
                </c:pt>
                <c:pt idx="24">
                  <c:v>4.3246266920641228</c:v>
                </c:pt>
                <c:pt idx="25">
                  <c:v>8.9151019844591222</c:v>
                </c:pt>
                <c:pt idx="26">
                  <c:v>8.7504066164072736</c:v>
                </c:pt>
                <c:pt idx="27">
                  <c:v>6.3395815007025682</c:v>
                </c:pt>
                <c:pt idx="28">
                  <c:v>1.4179800279185424</c:v>
                </c:pt>
                <c:pt idx="29">
                  <c:v>0.69106089900467715</c:v>
                </c:pt>
                <c:pt idx="30">
                  <c:v>0.33378330593358008</c:v>
                </c:pt>
                <c:pt idx="31">
                  <c:v>0.24000799206810947</c:v>
                </c:pt>
                <c:pt idx="32">
                  <c:v>0.24000799206810947</c:v>
                </c:pt>
                <c:pt idx="33">
                  <c:v>0.24000799206810947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2"/>
          <c:order val="2"/>
          <c:tx>
            <c:v>fit peak 2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'size intensity'!$A$35:$A$49</c:f>
              <c:numCache>
                <c:formatCode>General</c:formatCode>
                <c:ptCount val="15"/>
                <c:pt idx="0">
                  <c:v>43.68</c:v>
                </c:pt>
                <c:pt idx="1">
                  <c:v>50.79</c:v>
                </c:pt>
                <c:pt idx="2">
                  <c:v>59.07</c:v>
                </c:pt>
                <c:pt idx="3">
                  <c:v>68.69</c:v>
                </c:pt>
                <c:pt idx="4">
                  <c:v>79.88</c:v>
                </c:pt>
                <c:pt idx="5">
                  <c:v>92.89</c:v>
                </c:pt>
                <c:pt idx="6">
                  <c:v>108</c:v>
                </c:pt>
                <c:pt idx="7">
                  <c:v>125.6</c:v>
                </c:pt>
                <c:pt idx="8">
                  <c:v>146.1</c:v>
                </c:pt>
                <c:pt idx="9">
                  <c:v>169.9</c:v>
                </c:pt>
                <c:pt idx="10">
                  <c:v>197.6</c:v>
                </c:pt>
                <c:pt idx="11">
                  <c:v>229.8</c:v>
                </c:pt>
                <c:pt idx="12">
                  <c:v>267.2</c:v>
                </c:pt>
                <c:pt idx="13">
                  <c:v>310.7</c:v>
                </c:pt>
                <c:pt idx="14">
                  <c:v>361.3</c:v>
                </c:pt>
              </c:numCache>
            </c:numRef>
          </c:xVal>
          <c:yVal>
            <c:numRef>
              <c:f>'size intensity'!$G$35:$G$49</c:f>
              <c:numCache>
                <c:formatCode>General</c:formatCode>
                <c:ptCount val="15"/>
                <c:pt idx="0">
                  <c:v>0.27551725358862994</c:v>
                </c:pt>
                <c:pt idx="1">
                  <c:v>0.27551725358862994</c:v>
                </c:pt>
                <c:pt idx="2">
                  <c:v>0.27551725358862994</c:v>
                </c:pt>
                <c:pt idx="3">
                  <c:v>1.0205112277739237</c:v>
                </c:pt>
                <c:pt idx="4">
                  <c:v>5.3027883035675041</c:v>
                </c:pt>
                <c:pt idx="5">
                  <c:v>8.2726347005101655</c:v>
                </c:pt>
                <c:pt idx="6">
                  <c:v>9.5217024932267975</c:v>
                </c:pt>
                <c:pt idx="7">
                  <c:v>9.4881264677509307</c:v>
                </c:pt>
                <c:pt idx="8">
                  <c:v>9.4508333597447987</c:v>
                </c:pt>
                <c:pt idx="9">
                  <c:v>7.3794348523470914</c:v>
                </c:pt>
                <c:pt idx="10">
                  <c:v>6.2427990217595468</c:v>
                </c:pt>
                <c:pt idx="11">
                  <c:v>5.2284230288148494</c:v>
                </c:pt>
                <c:pt idx="12">
                  <c:v>1.7012119797461971</c:v>
                </c:pt>
                <c:pt idx="13">
                  <c:v>0.33492201239170444</c:v>
                </c:pt>
                <c:pt idx="14">
                  <c:v>0.27551725358862994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scatterChart>
        <c:scatterStyle val="lineMarker"/>
        <c:varyColors val="0"/>
        <c:ser>
          <c:idx val="0"/>
          <c:order val="0"/>
          <c:tx>
            <c:v>mean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bg2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'size intensity'!$A$2:$A$49</c:f>
              <c:numCache>
                <c:formatCode>General</c:formatCode>
                <c:ptCount val="48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</c:numCache>
            </c:numRef>
          </c:xVal>
          <c:yVal>
            <c:numRef>
              <c:f>'size intensity'!$E$2:$E$49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1.4033333333333333</c:v>
                </c:pt>
                <c:pt idx="24">
                  <c:v>4.7006666666666668</c:v>
                </c:pt>
                <c:pt idx="25">
                  <c:v>8.5816666666666652</c:v>
                </c:pt>
                <c:pt idx="26">
                  <c:v>9.1223333333333336</c:v>
                </c:pt>
                <c:pt idx="27">
                  <c:v>5.8933333333333335</c:v>
                </c:pt>
                <c:pt idx="28">
                  <c:v>2.4398333333333331</c:v>
                </c:pt>
                <c:pt idx="29">
                  <c:v>1.3516666666666666</c:v>
                </c:pt>
                <c:pt idx="30">
                  <c:v>0.39733333333333332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1.9729999999999999</c:v>
                </c:pt>
                <c:pt idx="37">
                  <c:v>5.6833333333333336</c:v>
                </c:pt>
                <c:pt idx="38">
                  <c:v>7.666666666666667</c:v>
                </c:pt>
                <c:pt idx="39">
                  <c:v>9.6833333333333336</c:v>
                </c:pt>
                <c:pt idx="40">
                  <c:v>9.8979999999999997</c:v>
                </c:pt>
                <c:pt idx="41">
                  <c:v>9.125333333333332</c:v>
                </c:pt>
                <c:pt idx="42">
                  <c:v>7.0066666666666668</c:v>
                </c:pt>
                <c:pt idx="43">
                  <c:v>6.27</c:v>
                </c:pt>
                <c:pt idx="44">
                  <c:v>5.6366666666666667</c:v>
                </c:pt>
                <c:pt idx="45">
                  <c:v>2.8993333333333333</c:v>
                </c:pt>
                <c:pt idx="46">
                  <c:v>0.26763333333333333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"/>
        <c:minorUnit val="50"/>
      </c:valAx>
      <c:valAx>
        <c:axId val="2002847023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288614313835771"/>
          <c:y val="0.10394875143143123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'size number'!$A$2:$A$71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'size number'!$E$2:$E$71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3.5033333333333334</c:v>
                </c:pt>
                <c:pt idx="23">
                  <c:v>15.193999999999997</c:v>
                </c:pt>
                <c:pt idx="24">
                  <c:v>27.656666666666666</c:v>
                </c:pt>
                <c:pt idx="25">
                  <c:v>27.676666666666662</c:v>
                </c:pt>
                <c:pt idx="26">
                  <c:v>16.905999999999999</c:v>
                </c:pt>
                <c:pt idx="27">
                  <c:v>6.7160000000000002</c:v>
                </c:pt>
                <c:pt idx="28">
                  <c:v>1.8583999999999998</c:v>
                </c:pt>
                <c:pt idx="29">
                  <c:v>0.40224433333333337</c:v>
                </c:pt>
                <c:pt idx="30">
                  <c:v>7.6166666666666674E-2</c:v>
                </c:pt>
                <c:pt idx="31">
                  <c:v>7.3266666666666662E-3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4.0633333333333329E-5</c:v>
                </c:pt>
                <c:pt idx="36">
                  <c:v>1.303E-4</c:v>
                </c:pt>
                <c:pt idx="37">
                  <c:v>1.6703333333333332E-4</c:v>
                </c:pt>
                <c:pt idx="38">
                  <c:v>1.3133E-4</c:v>
                </c:pt>
                <c:pt idx="39">
                  <c:v>9.7700000000000003E-5</c:v>
                </c:pt>
                <c:pt idx="40">
                  <c:v>7.5259999999999994E-5</c:v>
                </c:pt>
                <c:pt idx="41">
                  <c:v>4.6704666666666667E-5</c:v>
                </c:pt>
                <c:pt idx="42">
                  <c:v>1.7620000000000001E-5</c:v>
                </c:pt>
                <c:pt idx="43">
                  <c:v>3.4003333333333333E-6</c:v>
                </c:pt>
                <c:pt idx="44">
                  <c:v>1.3460000000000001E-6</c:v>
                </c:pt>
                <c:pt idx="45">
                  <c:v>4.8866666666666667E-7</c:v>
                </c:pt>
                <c:pt idx="46">
                  <c:v>1.0693333333333334E-7</c:v>
                </c:pt>
                <c:pt idx="47">
                  <c:v>6.1033333333333336E-9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'size number'!$A$2:$A$71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'size number'!$F$2:$F$71</c:f>
              <c:numCache>
                <c:formatCode>General</c:formatCode>
                <c:ptCount val="70"/>
                <c:pt idx="0">
                  <c:v>0.35792028955063093</c:v>
                </c:pt>
                <c:pt idx="1">
                  <c:v>0.35792028955063093</c:v>
                </c:pt>
                <c:pt idx="2">
                  <c:v>0.35792028955063093</c:v>
                </c:pt>
                <c:pt idx="3">
                  <c:v>0.35792028955063093</c:v>
                </c:pt>
                <c:pt idx="4">
                  <c:v>0.35792028955063093</c:v>
                </c:pt>
                <c:pt idx="5">
                  <c:v>0.35792028955063093</c:v>
                </c:pt>
                <c:pt idx="6">
                  <c:v>0.35792028955063093</c:v>
                </c:pt>
                <c:pt idx="7">
                  <c:v>0.35792028955063093</c:v>
                </c:pt>
                <c:pt idx="8">
                  <c:v>0.35792028955063093</c:v>
                </c:pt>
                <c:pt idx="9">
                  <c:v>0.35792028955063093</c:v>
                </c:pt>
                <c:pt idx="10">
                  <c:v>0.35792028955063093</c:v>
                </c:pt>
                <c:pt idx="11">
                  <c:v>0.35792028955063093</c:v>
                </c:pt>
                <c:pt idx="12">
                  <c:v>0.35792028955063093</c:v>
                </c:pt>
                <c:pt idx="13">
                  <c:v>0.35792028955063093</c:v>
                </c:pt>
                <c:pt idx="14">
                  <c:v>0.35792028955063093</c:v>
                </c:pt>
                <c:pt idx="15">
                  <c:v>0.35792028955063093</c:v>
                </c:pt>
                <c:pt idx="16">
                  <c:v>0.35792028955063093</c:v>
                </c:pt>
                <c:pt idx="17">
                  <c:v>0.35792028955063093</c:v>
                </c:pt>
                <c:pt idx="18">
                  <c:v>0.35792028955063093</c:v>
                </c:pt>
                <c:pt idx="19">
                  <c:v>0.35792028955063093</c:v>
                </c:pt>
                <c:pt idx="20">
                  <c:v>0.35792028955063093</c:v>
                </c:pt>
                <c:pt idx="21">
                  <c:v>0.35792028955063093</c:v>
                </c:pt>
                <c:pt idx="22">
                  <c:v>1.1172385749380294</c:v>
                </c:pt>
                <c:pt idx="23">
                  <c:v>14.517928496963167</c:v>
                </c:pt>
                <c:pt idx="24">
                  <c:v>27.606552271973325</c:v>
                </c:pt>
                <c:pt idx="25">
                  <c:v>27.587150678855085</c:v>
                </c:pt>
                <c:pt idx="26">
                  <c:v>18.020892451221172</c:v>
                </c:pt>
                <c:pt idx="27">
                  <c:v>2.7314355417378606</c:v>
                </c:pt>
                <c:pt idx="28">
                  <c:v>0.66872962707237571</c:v>
                </c:pt>
                <c:pt idx="29">
                  <c:v>0.41144429732001031</c:v>
                </c:pt>
                <c:pt idx="30">
                  <c:v>0.36755460280093627</c:v>
                </c:pt>
                <c:pt idx="31">
                  <c:v>0.35883721194705154</c:v>
                </c:pt>
                <c:pt idx="32">
                  <c:v>0.35792028955063093</c:v>
                </c:pt>
                <c:pt idx="33">
                  <c:v>0.35792028955063093</c:v>
                </c:pt>
                <c:pt idx="34">
                  <c:v>0.35792028955063093</c:v>
                </c:pt>
                <c:pt idx="35">
                  <c:v>0.35792536902683114</c:v>
                </c:pt>
                <c:pt idx="36">
                  <c:v>0.35793657826922215</c:v>
                </c:pt>
                <c:pt idx="37">
                  <c:v>0.35794117039811418</c:v>
                </c:pt>
                <c:pt idx="38">
                  <c:v>0.35793670703147162</c:v>
                </c:pt>
                <c:pt idx="39">
                  <c:v>0.3579325029027306</c:v>
                </c:pt>
                <c:pt idx="40">
                  <c:v>0.35792969767434968</c:v>
                </c:pt>
                <c:pt idx="41">
                  <c:v>0.35792612799523227</c:v>
                </c:pt>
                <c:pt idx="42">
                  <c:v>0.35792249217701166</c:v>
                </c:pt>
                <c:pt idx="43">
                  <c:v>0.35792071461575159</c:v>
                </c:pt>
                <c:pt idx="44">
                  <c:v>0.35792045780986192</c:v>
                </c:pt>
                <c:pt idx="45">
                  <c:v>0.35792035063730743</c:v>
                </c:pt>
                <c:pt idx="46">
                  <c:v>0.35792030291802873</c:v>
                </c:pt>
                <c:pt idx="47">
                  <c:v>0.35792029031358963</c:v>
                </c:pt>
                <c:pt idx="48">
                  <c:v>0.35792028955063093</c:v>
                </c:pt>
                <c:pt idx="49">
                  <c:v>0.35792028955063093</c:v>
                </c:pt>
                <c:pt idx="50">
                  <c:v>0.35792028955063093</c:v>
                </c:pt>
                <c:pt idx="51">
                  <c:v>0.35792028955063093</c:v>
                </c:pt>
                <c:pt idx="52">
                  <c:v>0.35792028955063093</c:v>
                </c:pt>
                <c:pt idx="53">
                  <c:v>0.35792028955063093</c:v>
                </c:pt>
                <c:pt idx="54">
                  <c:v>0.35792028955063093</c:v>
                </c:pt>
                <c:pt idx="55">
                  <c:v>0.35792028955063093</c:v>
                </c:pt>
                <c:pt idx="56">
                  <c:v>0.35792028955063093</c:v>
                </c:pt>
                <c:pt idx="57">
                  <c:v>0.35792028955063093</c:v>
                </c:pt>
                <c:pt idx="58">
                  <c:v>0.35792028955063093</c:v>
                </c:pt>
                <c:pt idx="59">
                  <c:v>0.35792028955063093</c:v>
                </c:pt>
                <c:pt idx="60">
                  <c:v>0.35792028955063093</c:v>
                </c:pt>
                <c:pt idx="61">
                  <c:v>0.35792028955063093</c:v>
                </c:pt>
                <c:pt idx="62">
                  <c:v>0.35792028955063093</c:v>
                </c:pt>
                <c:pt idx="63">
                  <c:v>0.35792028955063093</c:v>
                </c:pt>
                <c:pt idx="64">
                  <c:v>0.35792028955063093</c:v>
                </c:pt>
                <c:pt idx="65">
                  <c:v>0.35792028955063093</c:v>
                </c:pt>
                <c:pt idx="66">
                  <c:v>0.35792028955063093</c:v>
                </c:pt>
                <c:pt idx="67">
                  <c:v>0.35792028955063093</c:v>
                </c:pt>
                <c:pt idx="68">
                  <c:v>0.35792028955063093</c:v>
                </c:pt>
                <c:pt idx="69">
                  <c:v>0.35792028955063093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288614313835771"/>
          <c:y val="0.10394875143143123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2.1800000000000002</c:v>
                </c:pt>
                <c:pt idx="23">
                  <c:v>10.129</c:v>
                </c:pt>
                <c:pt idx="24">
                  <c:v>21.303333333333331</c:v>
                </c:pt>
                <c:pt idx="25">
                  <c:v>26.55</c:v>
                </c:pt>
                <c:pt idx="26">
                  <c:v>21.41</c:v>
                </c:pt>
                <c:pt idx="27">
                  <c:v>11.620666666666665</c:v>
                </c:pt>
                <c:pt idx="28">
                  <c:v>4.5135333333333332</c:v>
                </c:pt>
                <c:pt idx="29">
                  <c:v>1.4451433333333334</c:v>
                </c:pt>
                <c:pt idx="30">
                  <c:v>0.39666666666666667</c:v>
                </c:pt>
                <c:pt idx="31">
                  <c:v>5.4100000000000002E-2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9.11E-3</c:v>
                </c:pt>
                <c:pt idx="36">
                  <c:v>3.5499999999999997E-2</c:v>
                </c:pt>
                <c:pt idx="37">
                  <c:v>5.9366666666666672E-2</c:v>
                </c:pt>
                <c:pt idx="38">
                  <c:v>6.5500000000000003E-2</c:v>
                </c:pt>
                <c:pt idx="39">
                  <c:v>6.5040000000000001E-2</c:v>
                </c:pt>
                <c:pt idx="40">
                  <c:v>6.4816666666666675E-2</c:v>
                </c:pt>
                <c:pt idx="41">
                  <c:v>5.1979333333333329E-2</c:v>
                </c:pt>
                <c:pt idx="42">
                  <c:v>2.4613333333333334E-2</c:v>
                </c:pt>
                <c:pt idx="43">
                  <c:v>7.920333333333333E-3</c:v>
                </c:pt>
                <c:pt idx="44">
                  <c:v>4.8399999999999997E-3</c:v>
                </c:pt>
                <c:pt idx="45">
                  <c:v>2.5343333333333333E-3</c:v>
                </c:pt>
                <c:pt idx="46">
                  <c:v>7.4899999999999999E-4</c:v>
                </c:pt>
                <c:pt idx="47">
                  <c:v>6.3100000000000002E-5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 filou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2.1800000000000002</c:v>
                </c:pt>
                <c:pt idx="23">
                  <c:v>10.129</c:v>
                </c:pt>
                <c:pt idx="24">
                  <c:v>21.303333333333331</c:v>
                </c:pt>
                <c:pt idx="25">
                  <c:v>26.55</c:v>
                </c:pt>
                <c:pt idx="26">
                  <c:v>21.41</c:v>
                </c:pt>
                <c:pt idx="27">
                  <c:v>11.620666666666665</c:v>
                </c:pt>
                <c:pt idx="28">
                  <c:v>4.5135333333333332</c:v>
                </c:pt>
                <c:pt idx="29">
                  <c:v>1.4451433333333334</c:v>
                </c:pt>
                <c:pt idx="30">
                  <c:v>0.39666666666666667</c:v>
                </c:pt>
                <c:pt idx="31">
                  <c:v>5.4100000000000002E-2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9.11E-3</c:v>
                </c:pt>
                <c:pt idx="36">
                  <c:v>3.5499999999999997E-2</c:v>
                </c:pt>
                <c:pt idx="37">
                  <c:v>5.9366666666666672E-2</c:v>
                </c:pt>
                <c:pt idx="38">
                  <c:v>6.5500000000000003E-2</c:v>
                </c:pt>
                <c:pt idx="39">
                  <c:v>6.5040000000000001E-2</c:v>
                </c:pt>
                <c:pt idx="40">
                  <c:v>6.4816666666666675E-2</c:v>
                </c:pt>
                <c:pt idx="41">
                  <c:v>5.1979333333333329E-2</c:v>
                </c:pt>
                <c:pt idx="42">
                  <c:v>2.4613333333333334E-2</c:v>
                </c:pt>
                <c:pt idx="43">
                  <c:v>7.920333333333333E-3</c:v>
                </c:pt>
                <c:pt idx="44">
                  <c:v>4.8399999999999997E-3</c:v>
                </c:pt>
                <c:pt idx="45">
                  <c:v>2.5343333333333333E-3</c:v>
                </c:pt>
                <c:pt idx="46">
                  <c:v>7.4899999999999999E-4</c:v>
                </c:pt>
                <c:pt idx="47">
                  <c:v>6.3100000000000002E-5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349097667139437E-2"/>
          <c:y val="6.7294938661229639E-2"/>
          <c:w val="0.83091132851307337"/>
          <c:h val="0.81152888309954818"/>
        </c:manualLayout>
      </c:layout>
      <c:scatterChart>
        <c:scatterStyle val="lineMarker"/>
        <c:varyColors val="0"/>
        <c:ser>
          <c:idx val="1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6350">
                <a:solidFill>
                  <a:srgbClr val="0E2841">
                    <a:lumMod val="90000"/>
                    <a:lumOff val="10000"/>
                  </a:srgbClr>
                </a:solidFill>
              </a:ln>
              <a:effectLst/>
            </c:spPr>
          </c:marker>
          <c:xVal>
            <c:numRef>
              <c:f>autocorrelation!$A$2:$A$491</c:f>
              <c:numCache>
                <c:formatCode>General</c:formatCode>
                <c:ptCount val="490"/>
                <c:pt idx="0">
                  <c:v>8.7499999999999994E-2</c:v>
                </c:pt>
                <c:pt idx="1">
                  <c:v>0.1</c:v>
                </c:pt>
                <c:pt idx="2">
                  <c:v>0.1125</c:v>
                </c:pt>
                <c:pt idx="3">
                  <c:v>0.125</c:v>
                </c:pt>
                <c:pt idx="4">
                  <c:v>0.13750000000000001</c:v>
                </c:pt>
                <c:pt idx="5">
                  <c:v>0.15</c:v>
                </c:pt>
                <c:pt idx="6">
                  <c:v>0.16250000000000001</c:v>
                </c:pt>
                <c:pt idx="7">
                  <c:v>0.17499999999999999</c:v>
                </c:pt>
                <c:pt idx="8">
                  <c:v>0.1875</c:v>
                </c:pt>
                <c:pt idx="9">
                  <c:v>0.2</c:v>
                </c:pt>
                <c:pt idx="10">
                  <c:v>0.21249999999999999</c:v>
                </c:pt>
                <c:pt idx="11">
                  <c:v>0.22500000000000001</c:v>
                </c:pt>
                <c:pt idx="12">
                  <c:v>0.23749999999999999</c:v>
                </c:pt>
                <c:pt idx="13">
                  <c:v>0.25</c:v>
                </c:pt>
                <c:pt idx="14">
                  <c:v>0.26250000000000001</c:v>
                </c:pt>
                <c:pt idx="15">
                  <c:v>0.27500000000000002</c:v>
                </c:pt>
                <c:pt idx="16">
                  <c:v>0.28749999999999998</c:v>
                </c:pt>
                <c:pt idx="17">
                  <c:v>0.3</c:v>
                </c:pt>
                <c:pt idx="18">
                  <c:v>0.3125</c:v>
                </c:pt>
                <c:pt idx="19">
                  <c:v>0.32500000000000001</c:v>
                </c:pt>
                <c:pt idx="20">
                  <c:v>0.33750000000000002</c:v>
                </c:pt>
                <c:pt idx="21">
                  <c:v>0.35</c:v>
                </c:pt>
                <c:pt idx="22">
                  <c:v>0.36249999999999999</c:v>
                </c:pt>
                <c:pt idx="23">
                  <c:v>0.375</c:v>
                </c:pt>
                <c:pt idx="24">
                  <c:v>0.38750000000000001</c:v>
                </c:pt>
                <c:pt idx="25">
                  <c:v>0.4</c:v>
                </c:pt>
                <c:pt idx="26">
                  <c:v>0.42499999999999999</c:v>
                </c:pt>
                <c:pt idx="27">
                  <c:v>0.45</c:v>
                </c:pt>
                <c:pt idx="28">
                  <c:v>0.47499999999999998</c:v>
                </c:pt>
                <c:pt idx="29">
                  <c:v>0.5</c:v>
                </c:pt>
                <c:pt idx="30">
                  <c:v>0.52500000000000002</c:v>
                </c:pt>
                <c:pt idx="31">
                  <c:v>0.55000000000000004</c:v>
                </c:pt>
                <c:pt idx="32">
                  <c:v>0.57499999999999996</c:v>
                </c:pt>
                <c:pt idx="33">
                  <c:v>0.6</c:v>
                </c:pt>
                <c:pt idx="34">
                  <c:v>0.625</c:v>
                </c:pt>
                <c:pt idx="35">
                  <c:v>0.65</c:v>
                </c:pt>
                <c:pt idx="36">
                  <c:v>0.67500000000000004</c:v>
                </c:pt>
                <c:pt idx="37">
                  <c:v>0.7</c:v>
                </c:pt>
                <c:pt idx="38">
                  <c:v>0.72499999999999998</c:v>
                </c:pt>
                <c:pt idx="39">
                  <c:v>0.75</c:v>
                </c:pt>
                <c:pt idx="40">
                  <c:v>0.77500000000000002</c:v>
                </c:pt>
                <c:pt idx="41">
                  <c:v>0.8</c:v>
                </c:pt>
                <c:pt idx="42">
                  <c:v>0.85</c:v>
                </c:pt>
                <c:pt idx="43">
                  <c:v>0.9</c:v>
                </c:pt>
                <c:pt idx="44">
                  <c:v>0.95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  <c:pt idx="51">
                  <c:v>1.3</c:v>
                </c:pt>
                <c:pt idx="52">
                  <c:v>1.35</c:v>
                </c:pt>
                <c:pt idx="53">
                  <c:v>1.4</c:v>
                </c:pt>
                <c:pt idx="54">
                  <c:v>1.45</c:v>
                </c:pt>
                <c:pt idx="55">
                  <c:v>1.5</c:v>
                </c:pt>
                <c:pt idx="56">
                  <c:v>1.55</c:v>
                </c:pt>
                <c:pt idx="57">
                  <c:v>1.6</c:v>
                </c:pt>
                <c:pt idx="58">
                  <c:v>1.7</c:v>
                </c:pt>
                <c:pt idx="59">
                  <c:v>1.8</c:v>
                </c:pt>
                <c:pt idx="60">
                  <c:v>1.9</c:v>
                </c:pt>
                <c:pt idx="61">
                  <c:v>2</c:v>
                </c:pt>
                <c:pt idx="62">
                  <c:v>2.1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2.4</c:v>
                </c:pt>
                <c:pt idx="66">
                  <c:v>2.5</c:v>
                </c:pt>
                <c:pt idx="67">
                  <c:v>2.6</c:v>
                </c:pt>
                <c:pt idx="68">
                  <c:v>2.7</c:v>
                </c:pt>
                <c:pt idx="69">
                  <c:v>2.8</c:v>
                </c:pt>
                <c:pt idx="70">
                  <c:v>2.9</c:v>
                </c:pt>
                <c:pt idx="71">
                  <c:v>3</c:v>
                </c:pt>
                <c:pt idx="72">
                  <c:v>3.1</c:v>
                </c:pt>
                <c:pt idx="73">
                  <c:v>3.2</c:v>
                </c:pt>
                <c:pt idx="74">
                  <c:v>3.4</c:v>
                </c:pt>
                <c:pt idx="75">
                  <c:v>3.6</c:v>
                </c:pt>
                <c:pt idx="76">
                  <c:v>3.8</c:v>
                </c:pt>
                <c:pt idx="77">
                  <c:v>4</c:v>
                </c:pt>
                <c:pt idx="78">
                  <c:v>4.2</c:v>
                </c:pt>
                <c:pt idx="79">
                  <c:v>4.4000000000000004</c:v>
                </c:pt>
                <c:pt idx="80">
                  <c:v>4.5999999999999996</c:v>
                </c:pt>
                <c:pt idx="81">
                  <c:v>4.8</c:v>
                </c:pt>
                <c:pt idx="82">
                  <c:v>5</c:v>
                </c:pt>
                <c:pt idx="83">
                  <c:v>5.2</c:v>
                </c:pt>
                <c:pt idx="84">
                  <c:v>5.4</c:v>
                </c:pt>
                <c:pt idx="85">
                  <c:v>5.6</c:v>
                </c:pt>
                <c:pt idx="86">
                  <c:v>5.8</c:v>
                </c:pt>
                <c:pt idx="87">
                  <c:v>6</c:v>
                </c:pt>
                <c:pt idx="88">
                  <c:v>6.2</c:v>
                </c:pt>
                <c:pt idx="89">
                  <c:v>6.4</c:v>
                </c:pt>
                <c:pt idx="90">
                  <c:v>6.8</c:v>
                </c:pt>
                <c:pt idx="91">
                  <c:v>7.2</c:v>
                </c:pt>
                <c:pt idx="92">
                  <c:v>7.6</c:v>
                </c:pt>
                <c:pt idx="93">
                  <c:v>8</c:v>
                </c:pt>
                <c:pt idx="94">
                  <c:v>8.4</c:v>
                </c:pt>
                <c:pt idx="95">
                  <c:v>8.8000000000000007</c:v>
                </c:pt>
                <c:pt idx="96">
                  <c:v>9.1999999999999993</c:v>
                </c:pt>
                <c:pt idx="97">
                  <c:v>9.6</c:v>
                </c:pt>
                <c:pt idx="98">
                  <c:v>10</c:v>
                </c:pt>
                <c:pt idx="99">
                  <c:v>10.4</c:v>
                </c:pt>
                <c:pt idx="100">
                  <c:v>10.8</c:v>
                </c:pt>
                <c:pt idx="101">
                  <c:v>11.2</c:v>
                </c:pt>
                <c:pt idx="102">
                  <c:v>11.6</c:v>
                </c:pt>
                <c:pt idx="103">
                  <c:v>12</c:v>
                </c:pt>
                <c:pt idx="104">
                  <c:v>12.4</c:v>
                </c:pt>
                <c:pt idx="105">
                  <c:v>12.8</c:v>
                </c:pt>
                <c:pt idx="106">
                  <c:v>13.6</c:v>
                </c:pt>
                <c:pt idx="107">
                  <c:v>14.4</c:v>
                </c:pt>
                <c:pt idx="108">
                  <c:v>15.2</c:v>
                </c:pt>
                <c:pt idx="109">
                  <c:v>16</c:v>
                </c:pt>
                <c:pt idx="110">
                  <c:v>16.8</c:v>
                </c:pt>
                <c:pt idx="111">
                  <c:v>17.600000000000001</c:v>
                </c:pt>
                <c:pt idx="112">
                  <c:v>18.399999999999999</c:v>
                </c:pt>
                <c:pt idx="113">
                  <c:v>19.2</c:v>
                </c:pt>
                <c:pt idx="114">
                  <c:v>20</c:v>
                </c:pt>
                <c:pt idx="115">
                  <c:v>20.8</c:v>
                </c:pt>
                <c:pt idx="116">
                  <c:v>21.6</c:v>
                </c:pt>
                <c:pt idx="117">
                  <c:v>22.4</c:v>
                </c:pt>
                <c:pt idx="118">
                  <c:v>23.2</c:v>
                </c:pt>
                <c:pt idx="119">
                  <c:v>24</c:v>
                </c:pt>
                <c:pt idx="120">
                  <c:v>24.8</c:v>
                </c:pt>
                <c:pt idx="121">
                  <c:v>25.6</c:v>
                </c:pt>
                <c:pt idx="122">
                  <c:v>27.2</c:v>
                </c:pt>
                <c:pt idx="123">
                  <c:v>28.8</c:v>
                </c:pt>
                <c:pt idx="124">
                  <c:v>30.4</c:v>
                </c:pt>
                <c:pt idx="125">
                  <c:v>32</c:v>
                </c:pt>
                <c:pt idx="126">
                  <c:v>33.6</c:v>
                </c:pt>
                <c:pt idx="127">
                  <c:v>35.200000000000003</c:v>
                </c:pt>
                <c:pt idx="128">
                  <c:v>36.799999999999997</c:v>
                </c:pt>
                <c:pt idx="129">
                  <c:v>38.4</c:v>
                </c:pt>
                <c:pt idx="130">
                  <c:v>40</c:v>
                </c:pt>
                <c:pt idx="131">
                  <c:v>41.6</c:v>
                </c:pt>
                <c:pt idx="132">
                  <c:v>43.2</c:v>
                </c:pt>
                <c:pt idx="133">
                  <c:v>44.8</c:v>
                </c:pt>
                <c:pt idx="134">
                  <c:v>46.4</c:v>
                </c:pt>
                <c:pt idx="135">
                  <c:v>48</c:v>
                </c:pt>
                <c:pt idx="136">
                  <c:v>49.6</c:v>
                </c:pt>
                <c:pt idx="137">
                  <c:v>51.2</c:v>
                </c:pt>
                <c:pt idx="138">
                  <c:v>54.4</c:v>
                </c:pt>
                <c:pt idx="139">
                  <c:v>57.6</c:v>
                </c:pt>
                <c:pt idx="140">
                  <c:v>60.8</c:v>
                </c:pt>
                <c:pt idx="141">
                  <c:v>64</c:v>
                </c:pt>
                <c:pt idx="142">
                  <c:v>67.2</c:v>
                </c:pt>
                <c:pt idx="143">
                  <c:v>70.400000000000006</c:v>
                </c:pt>
                <c:pt idx="144">
                  <c:v>73.599999999999994</c:v>
                </c:pt>
                <c:pt idx="145">
                  <c:v>76.8</c:v>
                </c:pt>
                <c:pt idx="146">
                  <c:v>80</c:v>
                </c:pt>
                <c:pt idx="147">
                  <c:v>83.2</c:v>
                </c:pt>
                <c:pt idx="148">
                  <c:v>86.4</c:v>
                </c:pt>
                <c:pt idx="149">
                  <c:v>89.6</c:v>
                </c:pt>
                <c:pt idx="150">
                  <c:v>92.8</c:v>
                </c:pt>
                <c:pt idx="151">
                  <c:v>96</c:v>
                </c:pt>
                <c:pt idx="152">
                  <c:v>99.2</c:v>
                </c:pt>
                <c:pt idx="153">
                  <c:v>102.4</c:v>
                </c:pt>
                <c:pt idx="154">
                  <c:v>108.8</c:v>
                </c:pt>
                <c:pt idx="155">
                  <c:v>115.2</c:v>
                </c:pt>
                <c:pt idx="156">
                  <c:v>121.6</c:v>
                </c:pt>
                <c:pt idx="157">
                  <c:v>128</c:v>
                </c:pt>
                <c:pt idx="158">
                  <c:v>134.4</c:v>
                </c:pt>
                <c:pt idx="159">
                  <c:v>140.80000000000001</c:v>
                </c:pt>
                <c:pt idx="160">
                  <c:v>147.19999999999999</c:v>
                </c:pt>
                <c:pt idx="161">
                  <c:v>153.6</c:v>
                </c:pt>
                <c:pt idx="162">
                  <c:v>160</c:v>
                </c:pt>
                <c:pt idx="163">
                  <c:v>166.4</c:v>
                </c:pt>
                <c:pt idx="164">
                  <c:v>172.8</c:v>
                </c:pt>
                <c:pt idx="165">
                  <c:v>179.2</c:v>
                </c:pt>
                <c:pt idx="166">
                  <c:v>185.6</c:v>
                </c:pt>
                <c:pt idx="167">
                  <c:v>192</c:v>
                </c:pt>
                <c:pt idx="168">
                  <c:v>198.4</c:v>
                </c:pt>
                <c:pt idx="169">
                  <c:v>204.8</c:v>
                </c:pt>
                <c:pt idx="170">
                  <c:v>217.6</c:v>
                </c:pt>
                <c:pt idx="171">
                  <c:v>230.4</c:v>
                </c:pt>
                <c:pt idx="172">
                  <c:v>243.2</c:v>
                </c:pt>
                <c:pt idx="173">
                  <c:v>256</c:v>
                </c:pt>
                <c:pt idx="174">
                  <c:v>268.8</c:v>
                </c:pt>
                <c:pt idx="175">
                  <c:v>281.60000000000002</c:v>
                </c:pt>
                <c:pt idx="176">
                  <c:v>294.39999999999998</c:v>
                </c:pt>
                <c:pt idx="177">
                  <c:v>307.2</c:v>
                </c:pt>
                <c:pt idx="178">
                  <c:v>320</c:v>
                </c:pt>
                <c:pt idx="179">
                  <c:v>332.8</c:v>
                </c:pt>
                <c:pt idx="180">
                  <c:v>345.6</c:v>
                </c:pt>
                <c:pt idx="181">
                  <c:v>358.4</c:v>
                </c:pt>
                <c:pt idx="182">
                  <c:v>371.2</c:v>
                </c:pt>
                <c:pt idx="183">
                  <c:v>384</c:v>
                </c:pt>
                <c:pt idx="184">
                  <c:v>396.8</c:v>
                </c:pt>
                <c:pt idx="185">
                  <c:v>409.6</c:v>
                </c:pt>
                <c:pt idx="186">
                  <c:v>435.2</c:v>
                </c:pt>
                <c:pt idx="187">
                  <c:v>460.8</c:v>
                </c:pt>
                <c:pt idx="188">
                  <c:v>486.4</c:v>
                </c:pt>
                <c:pt idx="189">
                  <c:v>512</c:v>
                </c:pt>
                <c:pt idx="190">
                  <c:v>537.6</c:v>
                </c:pt>
                <c:pt idx="191">
                  <c:v>563.20000000000005</c:v>
                </c:pt>
                <c:pt idx="192">
                  <c:v>588.79999999999995</c:v>
                </c:pt>
                <c:pt idx="193">
                  <c:v>614.4</c:v>
                </c:pt>
                <c:pt idx="194">
                  <c:v>640</c:v>
                </c:pt>
                <c:pt idx="195">
                  <c:v>665.6</c:v>
                </c:pt>
                <c:pt idx="196">
                  <c:v>691.2</c:v>
                </c:pt>
                <c:pt idx="197">
                  <c:v>716.8</c:v>
                </c:pt>
                <c:pt idx="198">
                  <c:v>742.4</c:v>
                </c:pt>
                <c:pt idx="199">
                  <c:v>768</c:v>
                </c:pt>
                <c:pt idx="200">
                  <c:v>793.6</c:v>
                </c:pt>
                <c:pt idx="201">
                  <c:v>819.2</c:v>
                </c:pt>
                <c:pt idx="202">
                  <c:v>870.4</c:v>
                </c:pt>
                <c:pt idx="203">
                  <c:v>921.6</c:v>
                </c:pt>
                <c:pt idx="204">
                  <c:v>972.8</c:v>
                </c:pt>
                <c:pt idx="205">
                  <c:v>1024</c:v>
                </c:pt>
                <c:pt idx="206">
                  <c:v>1075</c:v>
                </c:pt>
                <c:pt idx="207">
                  <c:v>1126</c:v>
                </c:pt>
                <c:pt idx="208">
                  <c:v>1178</c:v>
                </c:pt>
                <c:pt idx="209">
                  <c:v>1229</c:v>
                </c:pt>
                <c:pt idx="210">
                  <c:v>1280</c:v>
                </c:pt>
                <c:pt idx="211">
                  <c:v>1331</c:v>
                </c:pt>
                <c:pt idx="212">
                  <c:v>1382</c:v>
                </c:pt>
                <c:pt idx="213">
                  <c:v>1434</c:v>
                </c:pt>
                <c:pt idx="214">
                  <c:v>1485</c:v>
                </c:pt>
                <c:pt idx="215">
                  <c:v>1536</c:v>
                </c:pt>
                <c:pt idx="216">
                  <c:v>1587</c:v>
                </c:pt>
                <c:pt idx="217">
                  <c:v>1638</c:v>
                </c:pt>
                <c:pt idx="218">
                  <c:v>1741</c:v>
                </c:pt>
                <c:pt idx="219">
                  <c:v>1843</c:v>
                </c:pt>
                <c:pt idx="220">
                  <c:v>1946</c:v>
                </c:pt>
                <c:pt idx="221">
                  <c:v>2048</c:v>
                </c:pt>
                <c:pt idx="222">
                  <c:v>2150</c:v>
                </c:pt>
                <c:pt idx="223">
                  <c:v>2253</c:v>
                </c:pt>
                <c:pt idx="224">
                  <c:v>2355</c:v>
                </c:pt>
                <c:pt idx="225">
                  <c:v>2458</c:v>
                </c:pt>
                <c:pt idx="226">
                  <c:v>2560</c:v>
                </c:pt>
                <c:pt idx="227">
                  <c:v>2662</c:v>
                </c:pt>
                <c:pt idx="228">
                  <c:v>2765</c:v>
                </c:pt>
                <c:pt idx="229">
                  <c:v>2867</c:v>
                </c:pt>
                <c:pt idx="230">
                  <c:v>2970</c:v>
                </c:pt>
                <c:pt idx="231">
                  <c:v>3072</c:v>
                </c:pt>
                <c:pt idx="232">
                  <c:v>3174</c:v>
                </c:pt>
                <c:pt idx="233">
                  <c:v>3277</c:v>
                </c:pt>
                <c:pt idx="234">
                  <c:v>3482</c:v>
                </c:pt>
                <c:pt idx="235">
                  <c:v>3686</c:v>
                </c:pt>
                <c:pt idx="236">
                  <c:v>3891</c:v>
                </c:pt>
                <c:pt idx="237">
                  <c:v>4096</c:v>
                </c:pt>
                <c:pt idx="238">
                  <c:v>4301</c:v>
                </c:pt>
                <c:pt idx="239">
                  <c:v>4506</c:v>
                </c:pt>
                <c:pt idx="240">
                  <c:v>4710</c:v>
                </c:pt>
                <c:pt idx="241">
                  <c:v>4915</c:v>
                </c:pt>
                <c:pt idx="242">
                  <c:v>5120</c:v>
                </c:pt>
                <c:pt idx="243">
                  <c:v>5325</c:v>
                </c:pt>
                <c:pt idx="244">
                  <c:v>5530</c:v>
                </c:pt>
                <c:pt idx="245">
                  <c:v>5734</c:v>
                </c:pt>
                <c:pt idx="246">
                  <c:v>5939</c:v>
                </c:pt>
                <c:pt idx="247">
                  <c:v>6144</c:v>
                </c:pt>
                <c:pt idx="248">
                  <c:v>6349</c:v>
                </c:pt>
                <c:pt idx="249">
                  <c:v>6554</c:v>
                </c:pt>
                <c:pt idx="250">
                  <c:v>6963</c:v>
                </c:pt>
                <c:pt idx="251">
                  <c:v>7373</c:v>
                </c:pt>
                <c:pt idx="252">
                  <c:v>7782</c:v>
                </c:pt>
                <c:pt idx="253">
                  <c:v>8192</c:v>
                </c:pt>
                <c:pt idx="254">
                  <c:v>8602</c:v>
                </c:pt>
                <c:pt idx="255">
                  <c:v>9011</c:v>
                </c:pt>
                <c:pt idx="256">
                  <c:v>9421</c:v>
                </c:pt>
                <c:pt idx="257">
                  <c:v>9830</c:v>
                </c:pt>
                <c:pt idx="258" formatCode="0.00E+00">
                  <c:v>10240</c:v>
                </c:pt>
                <c:pt idx="259" formatCode="0.00E+00">
                  <c:v>10650</c:v>
                </c:pt>
                <c:pt idx="260" formatCode="0.00E+00">
                  <c:v>11060</c:v>
                </c:pt>
                <c:pt idx="261" formatCode="0.00E+00">
                  <c:v>11470</c:v>
                </c:pt>
                <c:pt idx="262" formatCode="0.00E+00">
                  <c:v>11880</c:v>
                </c:pt>
                <c:pt idx="263" formatCode="0.00E+00">
                  <c:v>12290</c:v>
                </c:pt>
                <c:pt idx="264" formatCode="0.00E+00">
                  <c:v>12700</c:v>
                </c:pt>
                <c:pt idx="265" formatCode="0.00E+00">
                  <c:v>13110</c:v>
                </c:pt>
                <c:pt idx="266" formatCode="0.00E+00">
                  <c:v>13930</c:v>
                </c:pt>
                <c:pt idx="267" formatCode="0.00E+00">
                  <c:v>14750</c:v>
                </c:pt>
                <c:pt idx="268" formatCode="0.00E+00">
                  <c:v>15560</c:v>
                </c:pt>
                <c:pt idx="269" formatCode="0.00E+00">
                  <c:v>16380</c:v>
                </c:pt>
                <c:pt idx="270" formatCode="0.00E+00">
                  <c:v>17200</c:v>
                </c:pt>
                <c:pt idx="271" formatCode="0.00E+00">
                  <c:v>18020</c:v>
                </c:pt>
                <c:pt idx="272" formatCode="0.00E+00">
                  <c:v>18840</c:v>
                </c:pt>
                <c:pt idx="273" formatCode="0.00E+00">
                  <c:v>19660</c:v>
                </c:pt>
                <c:pt idx="274" formatCode="0.00E+00">
                  <c:v>20480</c:v>
                </c:pt>
                <c:pt idx="275" formatCode="0.00E+00">
                  <c:v>21300</c:v>
                </c:pt>
                <c:pt idx="276" formatCode="0.00E+00">
                  <c:v>22120</c:v>
                </c:pt>
                <c:pt idx="277" formatCode="0.00E+00">
                  <c:v>22940</c:v>
                </c:pt>
                <c:pt idx="278" formatCode="0.00E+00">
                  <c:v>23760</c:v>
                </c:pt>
                <c:pt idx="279" formatCode="0.00E+00">
                  <c:v>24580</c:v>
                </c:pt>
                <c:pt idx="280" formatCode="0.00E+00">
                  <c:v>25400</c:v>
                </c:pt>
                <c:pt idx="281" formatCode="0.00E+00">
                  <c:v>26210</c:v>
                </c:pt>
                <c:pt idx="282" formatCode="0.00E+00">
                  <c:v>27850</c:v>
                </c:pt>
                <c:pt idx="283" formatCode="0.00E+00">
                  <c:v>29490</c:v>
                </c:pt>
                <c:pt idx="284" formatCode="0.00E+00">
                  <c:v>31130</c:v>
                </c:pt>
                <c:pt idx="285" formatCode="0.00E+00">
                  <c:v>32770</c:v>
                </c:pt>
                <c:pt idx="286" formatCode="0.00E+00">
                  <c:v>34410</c:v>
                </c:pt>
                <c:pt idx="287" formatCode="0.00E+00">
                  <c:v>36040</c:v>
                </c:pt>
                <c:pt idx="288" formatCode="0.00E+00">
                  <c:v>37680</c:v>
                </c:pt>
                <c:pt idx="289" formatCode="0.00E+00">
                  <c:v>39320</c:v>
                </c:pt>
                <c:pt idx="290" formatCode="0.00E+00">
                  <c:v>40960</c:v>
                </c:pt>
                <c:pt idx="291" formatCode="0.00E+00">
                  <c:v>42600</c:v>
                </c:pt>
                <c:pt idx="292" formatCode="0.00E+00">
                  <c:v>44240</c:v>
                </c:pt>
                <c:pt idx="293" formatCode="0.00E+00">
                  <c:v>45880</c:v>
                </c:pt>
                <c:pt idx="294" formatCode="0.00E+00">
                  <c:v>47510</c:v>
                </c:pt>
                <c:pt idx="295" formatCode="0.00E+00">
                  <c:v>49150</c:v>
                </c:pt>
                <c:pt idx="296" formatCode="0.00E+00">
                  <c:v>50790</c:v>
                </c:pt>
                <c:pt idx="297" formatCode="0.00E+00">
                  <c:v>52430</c:v>
                </c:pt>
                <c:pt idx="298" formatCode="0.00E+00">
                  <c:v>55710</c:v>
                </c:pt>
                <c:pt idx="299" formatCode="0.00E+00">
                  <c:v>58980</c:v>
                </c:pt>
                <c:pt idx="300" formatCode="0.00E+00">
                  <c:v>62260</c:v>
                </c:pt>
                <c:pt idx="301" formatCode="0.00E+00">
                  <c:v>65540</c:v>
                </c:pt>
                <c:pt idx="302" formatCode="0.00E+00">
                  <c:v>68810</c:v>
                </c:pt>
                <c:pt idx="303" formatCode="0.00E+00">
                  <c:v>72090</c:v>
                </c:pt>
                <c:pt idx="304" formatCode="0.00E+00">
                  <c:v>75370</c:v>
                </c:pt>
                <c:pt idx="305" formatCode="0.00E+00">
                  <c:v>78640</c:v>
                </c:pt>
                <c:pt idx="306" formatCode="0.00E+00">
                  <c:v>81920</c:v>
                </c:pt>
                <c:pt idx="307" formatCode="0.00E+00">
                  <c:v>85200</c:v>
                </c:pt>
                <c:pt idx="308" formatCode="0.00E+00">
                  <c:v>88470</c:v>
                </c:pt>
                <c:pt idx="309" formatCode="0.00E+00">
                  <c:v>91750</c:v>
                </c:pt>
                <c:pt idx="310" formatCode="0.00E+00">
                  <c:v>95030</c:v>
                </c:pt>
                <c:pt idx="311" formatCode="0.00E+00">
                  <c:v>98300</c:v>
                </c:pt>
                <c:pt idx="312" formatCode="0.00E+00">
                  <c:v>101600</c:v>
                </c:pt>
                <c:pt idx="313" formatCode="0.00E+00">
                  <c:v>104900</c:v>
                </c:pt>
                <c:pt idx="314" formatCode="0.00E+00">
                  <c:v>111400</c:v>
                </c:pt>
                <c:pt idx="315" formatCode="0.00E+00">
                  <c:v>118000</c:v>
                </c:pt>
                <c:pt idx="316" formatCode="0.00E+00">
                  <c:v>124500</c:v>
                </c:pt>
                <c:pt idx="317" formatCode="0.00E+00">
                  <c:v>131100</c:v>
                </c:pt>
                <c:pt idx="318" formatCode="0.00E+00">
                  <c:v>137600</c:v>
                </c:pt>
                <c:pt idx="319" formatCode="0.00E+00">
                  <c:v>144200</c:v>
                </c:pt>
                <c:pt idx="320" formatCode="0.00E+00">
                  <c:v>150700</c:v>
                </c:pt>
                <c:pt idx="321" formatCode="0.00E+00">
                  <c:v>157300</c:v>
                </c:pt>
                <c:pt idx="322" formatCode="0.00E+00">
                  <c:v>163800</c:v>
                </c:pt>
                <c:pt idx="323" formatCode="0.00E+00">
                  <c:v>170400</c:v>
                </c:pt>
                <c:pt idx="324" formatCode="0.00E+00">
                  <c:v>176900</c:v>
                </c:pt>
                <c:pt idx="325" formatCode="0.00E+00">
                  <c:v>183500</c:v>
                </c:pt>
                <c:pt idx="326" formatCode="0.00E+00">
                  <c:v>190100</c:v>
                </c:pt>
                <c:pt idx="327" formatCode="0.00E+00">
                  <c:v>196600</c:v>
                </c:pt>
                <c:pt idx="328" formatCode="0.00E+00">
                  <c:v>203200</c:v>
                </c:pt>
                <c:pt idx="329" formatCode="0.00E+00">
                  <c:v>209700</c:v>
                </c:pt>
                <c:pt idx="330" formatCode="0.00E+00">
                  <c:v>222800</c:v>
                </c:pt>
                <c:pt idx="331" formatCode="0.00E+00">
                  <c:v>235900</c:v>
                </c:pt>
                <c:pt idx="332" formatCode="0.00E+00">
                  <c:v>249000</c:v>
                </c:pt>
                <c:pt idx="333" formatCode="0.00E+00">
                  <c:v>262100</c:v>
                </c:pt>
                <c:pt idx="334" formatCode="0.00E+00">
                  <c:v>275300</c:v>
                </c:pt>
                <c:pt idx="335" formatCode="0.00E+00">
                  <c:v>288400</c:v>
                </c:pt>
                <c:pt idx="336" formatCode="0.00E+00">
                  <c:v>301500</c:v>
                </c:pt>
                <c:pt idx="337" formatCode="0.00E+00">
                  <c:v>314600</c:v>
                </c:pt>
                <c:pt idx="338" formatCode="0.00E+00">
                  <c:v>327700</c:v>
                </c:pt>
                <c:pt idx="339" formatCode="0.00E+00">
                  <c:v>340800</c:v>
                </c:pt>
                <c:pt idx="340" formatCode="0.00E+00">
                  <c:v>353900</c:v>
                </c:pt>
                <c:pt idx="341" formatCode="0.00E+00">
                  <c:v>367000</c:v>
                </c:pt>
                <c:pt idx="342" formatCode="0.00E+00">
                  <c:v>380100</c:v>
                </c:pt>
                <c:pt idx="343" formatCode="0.00E+00">
                  <c:v>393200</c:v>
                </c:pt>
                <c:pt idx="344" formatCode="0.00E+00">
                  <c:v>406300</c:v>
                </c:pt>
                <c:pt idx="345" formatCode="0.00E+00">
                  <c:v>419400</c:v>
                </c:pt>
                <c:pt idx="346" formatCode="0.00E+00">
                  <c:v>445600</c:v>
                </c:pt>
                <c:pt idx="347" formatCode="0.00E+00">
                  <c:v>471900</c:v>
                </c:pt>
                <c:pt idx="348" formatCode="0.00E+00">
                  <c:v>498100</c:v>
                </c:pt>
                <c:pt idx="349" formatCode="0.00E+00">
                  <c:v>524300</c:v>
                </c:pt>
                <c:pt idx="350" formatCode="0.00E+00">
                  <c:v>550500</c:v>
                </c:pt>
                <c:pt idx="351" formatCode="0.00E+00">
                  <c:v>576700</c:v>
                </c:pt>
                <c:pt idx="352" formatCode="0.00E+00">
                  <c:v>602900</c:v>
                </c:pt>
                <c:pt idx="353" formatCode="0.00E+00">
                  <c:v>629100</c:v>
                </c:pt>
                <c:pt idx="354" formatCode="0.00E+00">
                  <c:v>655400</c:v>
                </c:pt>
                <c:pt idx="355" formatCode="0.00E+00">
                  <c:v>681600</c:v>
                </c:pt>
                <c:pt idx="356" formatCode="0.00E+00">
                  <c:v>707800</c:v>
                </c:pt>
                <c:pt idx="357" formatCode="0.00E+00">
                  <c:v>734000</c:v>
                </c:pt>
                <c:pt idx="358" formatCode="0.00E+00">
                  <c:v>760200</c:v>
                </c:pt>
                <c:pt idx="359" formatCode="0.00E+00">
                  <c:v>786400</c:v>
                </c:pt>
                <c:pt idx="360" formatCode="0.00E+00">
                  <c:v>812600</c:v>
                </c:pt>
                <c:pt idx="361" formatCode="0.00E+00">
                  <c:v>838900</c:v>
                </c:pt>
                <c:pt idx="362" formatCode="0.00E+00">
                  <c:v>891300</c:v>
                </c:pt>
                <c:pt idx="363" formatCode="0.00E+00">
                  <c:v>943700</c:v>
                </c:pt>
                <c:pt idx="364" formatCode="0.00E+00">
                  <c:v>996100</c:v>
                </c:pt>
                <c:pt idx="365" formatCode="0.00E+00">
                  <c:v>1049000</c:v>
                </c:pt>
                <c:pt idx="366" formatCode="0.00E+00">
                  <c:v>1101000</c:v>
                </c:pt>
                <c:pt idx="367" formatCode="0.00E+00">
                  <c:v>1153000</c:v>
                </c:pt>
                <c:pt idx="368" formatCode="0.00E+00">
                  <c:v>1206000</c:v>
                </c:pt>
                <c:pt idx="369" formatCode="0.00E+00">
                  <c:v>1258000</c:v>
                </c:pt>
                <c:pt idx="370" formatCode="0.00E+00">
                  <c:v>1311000</c:v>
                </c:pt>
                <c:pt idx="371" formatCode="0.00E+00">
                  <c:v>1363000</c:v>
                </c:pt>
                <c:pt idx="372" formatCode="0.00E+00">
                  <c:v>1416000</c:v>
                </c:pt>
                <c:pt idx="373" formatCode="0.00E+00">
                  <c:v>1468000</c:v>
                </c:pt>
                <c:pt idx="374" formatCode="0.00E+00">
                  <c:v>1520000</c:v>
                </c:pt>
                <c:pt idx="375" formatCode="0.00E+00">
                  <c:v>1573000</c:v>
                </c:pt>
                <c:pt idx="376" formatCode="0.00E+00">
                  <c:v>1625000</c:v>
                </c:pt>
                <c:pt idx="377" formatCode="0.00E+00">
                  <c:v>1678000</c:v>
                </c:pt>
                <c:pt idx="378" formatCode="0.00E+00">
                  <c:v>1783000</c:v>
                </c:pt>
                <c:pt idx="379" formatCode="0.00E+00">
                  <c:v>1887000</c:v>
                </c:pt>
                <c:pt idx="380" formatCode="0.00E+00">
                  <c:v>1992000</c:v>
                </c:pt>
                <c:pt idx="381" formatCode="0.00E+00">
                  <c:v>2097000</c:v>
                </c:pt>
                <c:pt idx="382" formatCode="0.00E+00">
                  <c:v>2202000</c:v>
                </c:pt>
                <c:pt idx="383" formatCode="0.00E+00">
                  <c:v>2307000</c:v>
                </c:pt>
                <c:pt idx="384" formatCode="0.00E+00">
                  <c:v>2412000</c:v>
                </c:pt>
                <c:pt idx="385" formatCode="0.00E+00">
                  <c:v>2517000</c:v>
                </c:pt>
                <c:pt idx="386" formatCode="0.00E+00">
                  <c:v>2621000</c:v>
                </c:pt>
                <c:pt idx="387" formatCode="0.00E+00">
                  <c:v>2726000</c:v>
                </c:pt>
                <c:pt idx="388" formatCode="0.00E+00">
                  <c:v>2831000</c:v>
                </c:pt>
                <c:pt idx="389" formatCode="0.00E+00">
                  <c:v>2936000</c:v>
                </c:pt>
                <c:pt idx="390" formatCode="0.00E+00">
                  <c:v>3041000</c:v>
                </c:pt>
                <c:pt idx="391" formatCode="0.00E+00">
                  <c:v>3146000</c:v>
                </c:pt>
                <c:pt idx="392" formatCode="0.00E+00">
                  <c:v>3251000</c:v>
                </c:pt>
                <c:pt idx="393" formatCode="0.00E+00">
                  <c:v>3355000</c:v>
                </c:pt>
                <c:pt idx="394" formatCode="0.00E+00">
                  <c:v>3565000</c:v>
                </c:pt>
                <c:pt idx="395" formatCode="0.00E+00">
                  <c:v>3775000</c:v>
                </c:pt>
                <c:pt idx="396" formatCode="0.00E+00">
                  <c:v>3985000</c:v>
                </c:pt>
                <c:pt idx="397" formatCode="0.00E+00">
                  <c:v>4194000</c:v>
                </c:pt>
                <c:pt idx="398" formatCode="0.00E+00">
                  <c:v>4404000</c:v>
                </c:pt>
                <c:pt idx="399" formatCode="0.00E+00">
                  <c:v>4614000</c:v>
                </c:pt>
                <c:pt idx="400" formatCode="0.00E+00">
                  <c:v>4823000</c:v>
                </c:pt>
                <c:pt idx="401" formatCode="0.00E+00">
                  <c:v>5033000</c:v>
                </c:pt>
                <c:pt idx="402" formatCode="0.00E+00">
                  <c:v>5243000</c:v>
                </c:pt>
                <c:pt idx="403" formatCode="0.00E+00">
                  <c:v>5453000</c:v>
                </c:pt>
                <c:pt idx="404" formatCode="0.00E+00">
                  <c:v>5662000</c:v>
                </c:pt>
                <c:pt idx="405" formatCode="0.00E+00">
                  <c:v>5872000</c:v>
                </c:pt>
                <c:pt idx="406" formatCode="0.00E+00">
                  <c:v>6082000</c:v>
                </c:pt>
                <c:pt idx="407" formatCode="0.00E+00">
                  <c:v>6291000</c:v>
                </c:pt>
                <c:pt idx="408" formatCode="0.00E+00">
                  <c:v>6501000</c:v>
                </c:pt>
                <c:pt idx="409" formatCode="0.00E+00">
                  <c:v>6711000</c:v>
                </c:pt>
                <c:pt idx="410" formatCode="0.00E+00">
                  <c:v>7130000</c:v>
                </c:pt>
                <c:pt idx="411" formatCode="0.00E+00">
                  <c:v>7550000</c:v>
                </c:pt>
                <c:pt idx="412" formatCode="0.00E+00">
                  <c:v>7969000</c:v>
                </c:pt>
                <c:pt idx="413" formatCode="0.00E+00">
                  <c:v>8389000</c:v>
                </c:pt>
                <c:pt idx="414" formatCode="0.00E+00">
                  <c:v>8808000</c:v>
                </c:pt>
                <c:pt idx="415" formatCode="0.00E+00">
                  <c:v>9227000</c:v>
                </c:pt>
                <c:pt idx="416" formatCode="0.00E+00">
                  <c:v>9647000</c:v>
                </c:pt>
                <c:pt idx="417" formatCode="0.00E+00">
                  <c:v>10070000</c:v>
                </c:pt>
                <c:pt idx="418" formatCode="0.00E+00">
                  <c:v>10490000</c:v>
                </c:pt>
                <c:pt idx="419" formatCode="0.00E+00">
                  <c:v>10910000</c:v>
                </c:pt>
                <c:pt idx="420" formatCode="0.00E+00">
                  <c:v>11320000</c:v>
                </c:pt>
                <c:pt idx="421" formatCode="0.00E+00">
                  <c:v>11740000</c:v>
                </c:pt>
                <c:pt idx="422" formatCode="0.00E+00">
                  <c:v>12160000</c:v>
                </c:pt>
                <c:pt idx="423" formatCode="0.00E+00">
                  <c:v>12580000</c:v>
                </c:pt>
                <c:pt idx="424" formatCode="0.00E+00">
                  <c:v>13000000</c:v>
                </c:pt>
                <c:pt idx="425" formatCode="0.00E+00">
                  <c:v>13420000</c:v>
                </c:pt>
                <c:pt idx="426" formatCode="0.00E+00">
                  <c:v>14260000</c:v>
                </c:pt>
                <c:pt idx="427" formatCode="0.00E+00">
                  <c:v>15100000</c:v>
                </c:pt>
                <c:pt idx="428" formatCode="0.00E+00">
                  <c:v>15940000</c:v>
                </c:pt>
                <c:pt idx="429" formatCode="0.00E+00">
                  <c:v>16780000</c:v>
                </c:pt>
                <c:pt idx="430" formatCode="0.00E+00">
                  <c:v>17620000</c:v>
                </c:pt>
                <c:pt idx="431" formatCode="0.00E+00">
                  <c:v>18450000</c:v>
                </c:pt>
                <c:pt idx="432" formatCode="0.00E+00">
                  <c:v>19290000</c:v>
                </c:pt>
                <c:pt idx="433" formatCode="0.00E+00">
                  <c:v>20130000</c:v>
                </c:pt>
                <c:pt idx="434" formatCode="0.00E+00">
                  <c:v>20970000</c:v>
                </c:pt>
                <c:pt idx="435" formatCode="0.00E+00">
                  <c:v>21810000</c:v>
                </c:pt>
                <c:pt idx="436" formatCode="0.00E+00">
                  <c:v>22650000</c:v>
                </c:pt>
                <c:pt idx="437" formatCode="0.00E+00">
                  <c:v>23490000</c:v>
                </c:pt>
                <c:pt idx="438" formatCode="0.00E+00">
                  <c:v>24330000</c:v>
                </c:pt>
                <c:pt idx="439" formatCode="0.00E+00">
                  <c:v>25170000</c:v>
                </c:pt>
                <c:pt idx="440" formatCode="0.00E+00">
                  <c:v>26000000</c:v>
                </c:pt>
                <c:pt idx="441" formatCode="0.00E+00">
                  <c:v>26840000</c:v>
                </c:pt>
                <c:pt idx="442" formatCode="0.00E+00">
                  <c:v>28520000</c:v>
                </c:pt>
                <c:pt idx="443" formatCode="0.00E+00">
                  <c:v>30200000</c:v>
                </c:pt>
                <c:pt idx="444" formatCode="0.00E+00">
                  <c:v>31880000</c:v>
                </c:pt>
                <c:pt idx="445" formatCode="0.00E+00">
                  <c:v>33550000</c:v>
                </c:pt>
                <c:pt idx="446" formatCode="0.00E+00">
                  <c:v>35230000</c:v>
                </c:pt>
                <c:pt idx="447" formatCode="0.00E+00">
                  <c:v>36910000</c:v>
                </c:pt>
                <c:pt idx="448" formatCode="0.00E+00">
                  <c:v>38590000</c:v>
                </c:pt>
                <c:pt idx="449" formatCode="0.00E+00">
                  <c:v>40270000</c:v>
                </c:pt>
                <c:pt idx="450" formatCode="0.00E+00">
                  <c:v>41940000</c:v>
                </c:pt>
                <c:pt idx="451" formatCode="0.00E+00">
                  <c:v>43620000</c:v>
                </c:pt>
                <c:pt idx="452" formatCode="0.00E+00">
                  <c:v>45300000</c:v>
                </c:pt>
                <c:pt idx="453" formatCode="0.00E+00">
                  <c:v>46980000</c:v>
                </c:pt>
                <c:pt idx="454" formatCode="0.00E+00">
                  <c:v>48650000</c:v>
                </c:pt>
                <c:pt idx="455" formatCode="0.00E+00">
                  <c:v>50330000</c:v>
                </c:pt>
                <c:pt idx="456" formatCode="0.00E+00">
                  <c:v>52010000</c:v>
                </c:pt>
                <c:pt idx="457" formatCode="0.00E+00">
                  <c:v>53690000</c:v>
                </c:pt>
                <c:pt idx="458" formatCode="0.00E+00">
                  <c:v>57040000</c:v>
                </c:pt>
                <c:pt idx="459" formatCode="0.00E+00">
                  <c:v>60400000</c:v>
                </c:pt>
                <c:pt idx="460" formatCode="0.00E+00">
                  <c:v>63750000</c:v>
                </c:pt>
                <c:pt idx="461" formatCode="0.00E+00">
                  <c:v>67110000</c:v>
                </c:pt>
                <c:pt idx="462" formatCode="0.00E+00">
                  <c:v>70460000</c:v>
                </c:pt>
                <c:pt idx="463" formatCode="0.00E+00">
                  <c:v>73820000</c:v>
                </c:pt>
                <c:pt idx="464" formatCode="0.00E+00">
                  <c:v>77180000</c:v>
                </c:pt>
                <c:pt idx="465" formatCode="0.00E+00">
                  <c:v>80530000</c:v>
                </c:pt>
                <c:pt idx="466" formatCode="0.00E+00">
                  <c:v>83890000</c:v>
                </c:pt>
                <c:pt idx="467" formatCode="0.00E+00">
                  <c:v>87240000</c:v>
                </c:pt>
                <c:pt idx="468" formatCode="0.00E+00">
                  <c:v>90600000</c:v>
                </c:pt>
                <c:pt idx="469" formatCode="0.00E+00">
                  <c:v>93950000</c:v>
                </c:pt>
                <c:pt idx="470" formatCode="0.00E+00">
                  <c:v>97310000</c:v>
                </c:pt>
                <c:pt idx="471" formatCode="0.00E+00">
                  <c:v>100700000</c:v>
                </c:pt>
                <c:pt idx="472" formatCode="0.00E+00">
                  <c:v>104000000</c:v>
                </c:pt>
                <c:pt idx="473" formatCode="0.00E+00">
                  <c:v>107400000</c:v>
                </c:pt>
                <c:pt idx="474" formatCode="0.00E+00">
                  <c:v>114100000</c:v>
                </c:pt>
                <c:pt idx="475" formatCode="0.00E+00">
                  <c:v>120800000</c:v>
                </c:pt>
                <c:pt idx="476" formatCode="0.00E+00">
                  <c:v>127500000</c:v>
                </c:pt>
                <c:pt idx="477" formatCode="0.00E+00">
                  <c:v>134200000</c:v>
                </c:pt>
                <c:pt idx="478" formatCode="0.00E+00">
                  <c:v>140900000</c:v>
                </c:pt>
                <c:pt idx="479" formatCode="0.00E+00">
                  <c:v>147600000</c:v>
                </c:pt>
                <c:pt idx="480" formatCode="0.00E+00">
                  <c:v>154400000</c:v>
                </c:pt>
                <c:pt idx="481" formatCode="0.00E+00">
                  <c:v>161100000</c:v>
                </c:pt>
                <c:pt idx="482" formatCode="0.00E+00">
                  <c:v>167800000</c:v>
                </c:pt>
                <c:pt idx="483" formatCode="0.00E+00">
                  <c:v>174500000</c:v>
                </c:pt>
                <c:pt idx="484" formatCode="0.00E+00">
                  <c:v>181200000</c:v>
                </c:pt>
                <c:pt idx="485" formatCode="0.00E+00">
                  <c:v>187900000</c:v>
                </c:pt>
                <c:pt idx="486" formatCode="0.00E+00">
                  <c:v>194600000</c:v>
                </c:pt>
                <c:pt idx="487" formatCode="0.00E+00">
                  <c:v>201300000</c:v>
                </c:pt>
                <c:pt idx="488" formatCode="0.00E+00">
                  <c:v>208000000</c:v>
                </c:pt>
                <c:pt idx="489" formatCode="0.00E+00">
                  <c:v>214700000</c:v>
                </c:pt>
              </c:numCache>
            </c:numRef>
          </c:xVal>
          <c:yVal>
            <c:numRef>
              <c:f>autocorrelation!$E$2:$E$491</c:f>
              <c:numCache>
                <c:formatCode>General</c:formatCode>
                <c:ptCount val="490"/>
                <c:pt idx="0">
                  <c:v>0.4588666666666667</c:v>
                </c:pt>
                <c:pt idx="1">
                  <c:v>0.44906666666666667</c:v>
                </c:pt>
                <c:pt idx="2">
                  <c:v>0.44180000000000003</c:v>
                </c:pt>
                <c:pt idx="3">
                  <c:v>0.4385666666666666</c:v>
                </c:pt>
                <c:pt idx="4">
                  <c:v>0.43466666666666659</c:v>
                </c:pt>
                <c:pt idx="5">
                  <c:v>0.43216666666666664</c:v>
                </c:pt>
                <c:pt idx="6">
                  <c:v>0.4320666666666666</c:v>
                </c:pt>
                <c:pt idx="7">
                  <c:v>0.43136666666666668</c:v>
                </c:pt>
                <c:pt idx="8">
                  <c:v>0.42986666666666662</c:v>
                </c:pt>
                <c:pt idx="9">
                  <c:v>0.42633333333333329</c:v>
                </c:pt>
                <c:pt idx="10">
                  <c:v>0.42513333333333331</c:v>
                </c:pt>
                <c:pt idx="11">
                  <c:v>0.4253333333333334</c:v>
                </c:pt>
                <c:pt idx="12">
                  <c:v>0.42450000000000004</c:v>
                </c:pt>
                <c:pt idx="13">
                  <c:v>0.42346666666666666</c:v>
                </c:pt>
                <c:pt idx="14">
                  <c:v>0.42253333333333326</c:v>
                </c:pt>
                <c:pt idx="15">
                  <c:v>0.42193333333333333</c:v>
                </c:pt>
                <c:pt idx="16">
                  <c:v>0.42090000000000005</c:v>
                </c:pt>
                <c:pt idx="17">
                  <c:v>0.41933333333333334</c:v>
                </c:pt>
                <c:pt idx="18">
                  <c:v>0.41910000000000003</c:v>
                </c:pt>
                <c:pt idx="19">
                  <c:v>0.42043333333333327</c:v>
                </c:pt>
                <c:pt idx="20">
                  <c:v>0.42050000000000004</c:v>
                </c:pt>
                <c:pt idx="21">
                  <c:v>0.42069999999999991</c:v>
                </c:pt>
                <c:pt idx="22">
                  <c:v>0.4190666666666667</c:v>
                </c:pt>
                <c:pt idx="23">
                  <c:v>0.41886666666666672</c:v>
                </c:pt>
                <c:pt idx="24">
                  <c:v>0.41876666666666668</c:v>
                </c:pt>
                <c:pt idx="25">
                  <c:v>0.41890000000000005</c:v>
                </c:pt>
                <c:pt idx="26">
                  <c:v>0.41860000000000003</c:v>
                </c:pt>
                <c:pt idx="27">
                  <c:v>0.41766666666666669</c:v>
                </c:pt>
                <c:pt idx="28">
                  <c:v>0.41819999999999996</c:v>
                </c:pt>
                <c:pt idx="29">
                  <c:v>0.41786666666666661</c:v>
                </c:pt>
                <c:pt idx="30">
                  <c:v>0.41723333333333334</c:v>
                </c:pt>
                <c:pt idx="31">
                  <c:v>0.41586666666666666</c:v>
                </c:pt>
                <c:pt idx="32">
                  <c:v>0.41533333333333333</c:v>
                </c:pt>
                <c:pt idx="33">
                  <c:v>0.4153</c:v>
                </c:pt>
                <c:pt idx="34">
                  <c:v>0.41493333333333338</c:v>
                </c:pt>
                <c:pt idx="35">
                  <c:v>0.41516666666666663</c:v>
                </c:pt>
                <c:pt idx="36">
                  <c:v>0.41406666666666664</c:v>
                </c:pt>
                <c:pt idx="37">
                  <c:v>0.41439999999999994</c:v>
                </c:pt>
                <c:pt idx="38">
                  <c:v>0.41323333333333334</c:v>
                </c:pt>
                <c:pt idx="39">
                  <c:v>0.41303333333333331</c:v>
                </c:pt>
                <c:pt idx="40">
                  <c:v>0.41270000000000001</c:v>
                </c:pt>
                <c:pt idx="41">
                  <c:v>0.41289999999999999</c:v>
                </c:pt>
                <c:pt idx="42">
                  <c:v>0.41236666666666671</c:v>
                </c:pt>
                <c:pt idx="43">
                  <c:v>0.41120000000000001</c:v>
                </c:pt>
                <c:pt idx="44">
                  <c:v>0.41053333333333336</c:v>
                </c:pt>
                <c:pt idx="45">
                  <c:v>0.40983333333333333</c:v>
                </c:pt>
                <c:pt idx="46">
                  <c:v>0.40926666666666667</c:v>
                </c:pt>
                <c:pt idx="47">
                  <c:v>0.40850000000000003</c:v>
                </c:pt>
                <c:pt idx="48">
                  <c:v>0.40756666666666663</c:v>
                </c:pt>
                <c:pt idx="49">
                  <c:v>0.40770000000000001</c:v>
                </c:pt>
                <c:pt idx="50">
                  <c:v>0.40693333333333337</c:v>
                </c:pt>
                <c:pt idx="51">
                  <c:v>0.40666666666666668</c:v>
                </c:pt>
                <c:pt idx="52">
                  <c:v>0.40570000000000001</c:v>
                </c:pt>
                <c:pt idx="53">
                  <c:v>0.40609999999999996</c:v>
                </c:pt>
                <c:pt idx="54">
                  <c:v>0.40596666666666664</c:v>
                </c:pt>
                <c:pt idx="55">
                  <c:v>0.4060333333333333</c:v>
                </c:pt>
                <c:pt idx="56">
                  <c:v>0.40503333333333336</c:v>
                </c:pt>
                <c:pt idx="57">
                  <c:v>0.40479999999999999</c:v>
                </c:pt>
                <c:pt idx="58">
                  <c:v>0.40286666666666671</c:v>
                </c:pt>
                <c:pt idx="59">
                  <c:v>0.40210000000000007</c:v>
                </c:pt>
                <c:pt idx="60">
                  <c:v>0.40133333333333332</c:v>
                </c:pt>
                <c:pt idx="61">
                  <c:v>0.40103333333333335</c:v>
                </c:pt>
                <c:pt idx="62">
                  <c:v>0.39993333333333331</c:v>
                </c:pt>
                <c:pt idx="63">
                  <c:v>0.3988666666666667</c:v>
                </c:pt>
                <c:pt idx="64">
                  <c:v>0.39793333333333331</c:v>
                </c:pt>
                <c:pt idx="65">
                  <c:v>0.39763333333333334</c:v>
                </c:pt>
                <c:pt idx="66">
                  <c:v>0.39690000000000003</c:v>
                </c:pt>
                <c:pt idx="67">
                  <c:v>0.3963666666666667</c:v>
                </c:pt>
                <c:pt idx="68">
                  <c:v>0.39573333333333333</c:v>
                </c:pt>
                <c:pt idx="69">
                  <c:v>0.3957</c:v>
                </c:pt>
                <c:pt idx="70">
                  <c:v>0.39510000000000001</c:v>
                </c:pt>
                <c:pt idx="71">
                  <c:v>0.39503333333333335</c:v>
                </c:pt>
                <c:pt idx="72">
                  <c:v>0.39426666666666671</c:v>
                </c:pt>
                <c:pt idx="73">
                  <c:v>0.39379999999999998</c:v>
                </c:pt>
                <c:pt idx="74">
                  <c:v>0.39176666666666665</c:v>
                </c:pt>
                <c:pt idx="75">
                  <c:v>0.39043333333333335</c:v>
                </c:pt>
                <c:pt idx="76">
                  <c:v>0.38963333333333333</c:v>
                </c:pt>
                <c:pt idx="77">
                  <c:v>0.38813333333333327</c:v>
                </c:pt>
                <c:pt idx="78">
                  <c:v>0.38650000000000001</c:v>
                </c:pt>
                <c:pt idx="79">
                  <c:v>0.38503333333333334</c:v>
                </c:pt>
                <c:pt idx="80">
                  <c:v>0.38426666666666659</c:v>
                </c:pt>
                <c:pt idx="81">
                  <c:v>0.38349999999999995</c:v>
                </c:pt>
                <c:pt idx="82">
                  <c:v>0.38253333333333334</c:v>
                </c:pt>
                <c:pt idx="83">
                  <c:v>0.38119999999999998</c:v>
                </c:pt>
                <c:pt idx="84">
                  <c:v>0.37963333333333332</c:v>
                </c:pt>
                <c:pt idx="85">
                  <c:v>0.37833333333333335</c:v>
                </c:pt>
                <c:pt idx="86">
                  <c:v>0.37719999999999998</c:v>
                </c:pt>
                <c:pt idx="87">
                  <c:v>0.37646666666666667</c:v>
                </c:pt>
                <c:pt idx="88">
                  <c:v>0.37526666666666664</c:v>
                </c:pt>
                <c:pt idx="89">
                  <c:v>0.37433333333333335</c:v>
                </c:pt>
                <c:pt idx="90">
                  <c:v>0.37210000000000004</c:v>
                </c:pt>
                <c:pt idx="91">
                  <c:v>0.36986666666666662</c:v>
                </c:pt>
                <c:pt idx="92">
                  <c:v>0.36763333333333331</c:v>
                </c:pt>
                <c:pt idx="93">
                  <c:v>0.36570000000000008</c:v>
                </c:pt>
                <c:pt idx="94">
                  <c:v>0.36379999999999996</c:v>
                </c:pt>
                <c:pt idx="95">
                  <c:v>0.36186666666666673</c:v>
                </c:pt>
                <c:pt idx="96">
                  <c:v>0.36003333333333326</c:v>
                </c:pt>
                <c:pt idx="97">
                  <c:v>0.35836666666666667</c:v>
                </c:pt>
                <c:pt idx="98">
                  <c:v>0.35693333333333332</c:v>
                </c:pt>
                <c:pt idx="99">
                  <c:v>0.3553</c:v>
                </c:pt>
                <c:pt idx="100">
                  <c:v>0.35339999999999999</c:v>
                </c:pt>
                <c:pt idx="101">
                  <c:v>0.35166666666666663</c:v>
                </c:pt>
                <c:pt idx="102">
                  <c:v>0.35013333333333335</c:v>
                </c:pt>
                <c:pt idx="103">
                  <c:v>0.34913333333333335</c:v>
                </c:pt>
                <c:pt idx="104">
                  <c:v>0.34769999999999995</c:v>
                </c:pt>
                <c:pt idx="105">
                  <c:v>0.34620000000000001</c:v>
                </c:pt>
                <c:pt idx="106">
                  <c:v>0.34289999999999998</c:v>
                </c:pt>
                <c:pt idx="107">
                  <c:v>0.34</c:v>
                </c:pt>
                <c:pt idx="108">
                  <c:v>0.33749999999999997</c:v>
                </c:pt>
                <c:pt idx="109">
                  <c:v>0.33510000000000001</c:v>
                </c:pt>
                <c:pt idx="110">
                  <c:v>0.33296666666666669</c:v>
                </c:pt>
                <c:pt idx="111">
                  <c:v>0.33069999999999999</c:v>
                </c:pt>
                <c:pt idx="112">
                  <c:v>0.3284333333333333</c:v>
                </c:pt>
                <c:pt idx="113">
                  <c:v>0.32613333333333333</c:v>
                </c:pt>
                <c:pt idx="114">
                  <c:v>0.32393333333333335</c:v>
                </c:pt>
                <c:pt idx="115">
                  <c:v>0.32176666666666665</c:v>
                </c:pt>
                <c:pt idx="116">
                  <c:v>0.32006666666666667</c:v>
                </c:pt>
                <c:pt idx="117">
                  <c:v>0.31853333333333333</c:v>
                </c:pt>
                <c:pt idx="118">
                  <c:v>0.3168333333333333</c:v>
                </c:pt>
                <c:pt idx="119">
                  <c:v>0.31519999999999998</c:v>
                </c:pt>
                <c:pt idx="120">
                  <c:v>0.31340000000000001</c:v>
                </c:pt>
                <c:pt idx="121">
                  <c:v>0.31190000000000001</c:v>
                </c:pt>
                <c:pt idx="122">
                  <c:v>0.3086666666666667</c:v>
                </c:pt>
                <c:pt idx="123">
                  <c:v>0.30586666666666668</c:v>
                </c:pt>
                <c:pt idx="124">
                  <c:v>0.30319999999999997</c:v>
                </c:pt>
                <c:pt idx="125">
                  <c:v>0.30073333333333335</c:v>
                </c:pt>
                <c:pt idx="126">
                  <c:v>0.29830000000000001</c:v>
                </c:pt>
                <c:pt idx="127">
                  <c:v>0.29619999999999996</c:v>
                </c:pt>
                <c:pt idx="128">
                  <c:v>0.2941333333333333</c:v>
                </c:pt>
                <c:pt idx="129">
                  <c:v>0.29226666666666662</c:v>
                </c:pt>
                <c:pt idx="130">
                  <c:v>0.29033333333333333</c:v>
                </c:pt>
                <c:pt idx="131">
                  <c:v>0.28846666666666665</c:v>
                </c:pt>
                <c:pt idx="132">
                  <c:v>0.28653333333333331</c:v>
                </c:pt>
                <c:pt idx="133">
                  <c:v>0.28476666666666667</c:v>
                </c:pt>
                <c:pt idx="134">
                  <c:v>0.28313333333333335</c:v>
                </c:pt>
                <c:pt idx="135">
                  <c:v>0.28156666666666669</c:v>
                </c:pt>
                <c:pt idx="136">
                  <c:v>0.28003333333333336</c:v>
                </c:pt>
                <c:pt idx="137">
                  <c:v>0.27853333333333335</c:v>
                </c:pt>
                <c:pt idx="138">
                  <c:v>0.27583333333333337</c:v>
                </c:pt>
                <c:pt idx="139">
                  <c:v>0.27326666666666666</c:v>
                </c:pt>
                <c:pt idx="140">
                  <c:v>0.27076666666666666</c:v>
                </c:pt>
                <c:pt idx="141">
                  <c:v>0.26843333333333336</c:v>
                </c:pt>
                <c:pt idx="142">
                  <c:v>0.26616666666666666</c:v>
                </c:pt>
                <c:pt idx="143">
                  <c:v>0.26390000000000002</c:v>
                </c:pt>
                <c:pt idx="144">
                  <c:v>0.26169999999999999</c:v>
                </c:pt>
                <c:pt idx="145">
                  <c:v>0.25969999999999999</c:v>
                </c:pt>
                <c:pt idx="146">
                  <c:v>0.25779999999999997</c:v>
                </c:pt>
                <c:pt idx="147">
                  <c:v>0.25603333333333333</c:v>
                </c:pt>
                <c:pt idx="148">
                  <c:v>0.25409999999999999</c:v>
                </c:pt>
                <c:pt idx="149">
                  <c:v>0.25243333333333334</c:v>
                </c:pt>
                <c:pt idx="150">
                  <c:v>0.25066666666666665</c:v>
                </c:pt>
                <c:pt idx="151">
                  <c:v>0.24903333333333333</c:v>
                </c:pt>
                <c:pt idx="152">
                  <c:v>0.24733333333333332</c:v>
                </c:pt>
                <c:pt idx="153">
                  <c:v>0.24580000000000002</c:v>
                </c:pt>
                <c:pt idx="154">
                  <c:v>0.2429</c:v>
                </c:pt>
                <c:pt idx="155">
                  <c:v>0.24003333333333335</c:v>
                </c:pt>
                <c:pt idx="156">
                  <c:v>0.23716666666666666</c:v>
                </c:pt>
                <c:pt idx="157">
                  <c:v>0.23453333333333334</c:v>
                </c:pt>
                <c:pt idx="158">
                  <c:v>0.2319</c:v>
                </c:pt>
                <c:pt idx="159">
                  <c:v>0.22953333333333337</c:v>
                </c:pt>
                <c:pt idx="160">
                  <c:v>0.22726666666666664</c:v>
                </c:pt>
                <c:pt idx="161">
                  <c:v>0.22509999999999999</c:v>
                </c:pt>
                <c:pt idx="162">
                  <c:v>0.223</c:v>
                </c:pt>
                <c:pt idx="163">
                  <c:v>0.22089999999999999</c:v>
                </c:pt>
                <c:pt idx="164">
                  <c:v>0.2190333333333333</c:v>
                </c:pt>
                <c:pt idx="165">
                  <c:v>0.21709999999999999</c:v>
                </c:pt>
                <c:pt idx="166">
                  <c:v>0.21533333333333335</c:v>
                </c:pt>
                <c:pt idx="167">
                  <c:v>0.21356666666666668</c:v>
                </c:pt>
                <c:pt idx="168">
                  <c:v>0.21193333333333331</c:v>
                </c:pt>
                <c:pt idx="169">
                  <c:v>0.21036666666666667</c:v>
                </c:pt>
                <c:pt idx="170">
                  <c:v>0.20726666666666663</c:v>
                </c:pt>
                <c:pt idx="171">
                  <c:v>0.2044</c:v>
                </c:pt>
                <c:pt idx="172">
                  <c:v>0.20166666666666666</c:v>
                </c:pt>
                <c:pt idx="173">
                  <c:v>0.19913333333333336</c:v>
                </c:pt>
                <c:pt idx="174">
                  <c:v>0.19670000000000001</c:v>
                </c:pt>
                <c:pt idx="175">
                  <c:v>0.19453333333333334</c:v>
                </c:pt>
                <c:pt idx="176">
                  <c:v>0.19236666666666666</c:v>
                </c:pt>
                <c:pt idx="177">
                  <c:v>0.19033333333333333</c:v>
                </c:pt>
                <c:pt idx="178">
                  <c:v>0.18839999999999998</c:v>
                </c:pt>
                <c:pt idx="179">
                  <c:v>0.18653333333333336</c:v>
                </c:pt>
                <c:pt idx="180">
                  <c:v>0.18486666666666665</c:v>
                </c:pt>
                <c:pt idx="181">
                  <c:v>0.18336666666666668</c:v>
                </c:pt>
                <c:pt idx="182">
                  <c:v>0.18189999999999998</c:v>
                </c:pt>
                <c:pt idx="183">
                  <c:v>0.18043333333333333</c:v>
                </c:pt>
                <c:pt idx="184">
                  <c:v>0.17903333333333335</c:v>
                </c:pt>
                <c:pt idx="185">
                  <c:v>0.17779999999999999</c:v>
                </c:pt>
                <c:pt idx="186">
                  <c:v>0.17533333333333334</c:v>
                </c:pt>
                <c:pt idx="187">
                  <c:v>0.17296666666666669</c:v>
                </c:pt>
                <c:pt idx="188">
                  <c:v>0.17073333333333332</c:v>
                </c:pt>
                <c:pt idx="189">
                  <c:v>0.16866666666666666</c:v>
                </c:pt>
                <c:pt idx="190">
                  <c:v>0.16669999999999999</c:v>
                </c:pt>
                <c:pt idx="191">
                  <c:v>0.16480000000000003</c:v>
                </c:pt>
                <c:pt idx="192">
                  <c:v>0.16313333333333332</c:v>
                </c:pt>
                <c:pt idx="193">
                  <c:v>0.16163333333333332</c:v>
                </c:pt>
                <c:pt idx="194">
                  <c:v>0.16026666666666667</c:v>
                </c:pt>
                <c:pt idx="195">
                  <c:v>0.159</c:v>
                </c:pt>
                <c:pt idx="196">
                  <c:v>0.15769999999999998</c:v>
                </c:pt>
                <c:pt idx="197">
                  <c:v>0.15640000000000001</c:v>
                </c:pt>
                <c:pt idx="198">
                  <c:v>0.15516666666666667</c:v>
                </c:pt>
                <c:pt idx="199">
                  <c:v>0.15406666666666666</c:v>
                </c:pt>
                <c:pt idx="200">
                  <c:v>0.15306666666666668</c:v>
                </c:pt>
                <c:pt idx="201">
                  <c:v>0.15216666666666667</c:v>
                </c:pt>
                <c:pt idx="202">
                  <c:v>0.15036666666666668</c:v>
                </c:pt>
                <c:pt idx="203">
                  <c:v>0.1487</c:v>
                </c:pt>
                <c:pt idx="204">
                  <c:v>0.1472</c:v>
                </c:pt>
                <c:pt idx="205">
                  <c:v>0.14583333333333334</c:v>
                </c:pt>
                <c:pt idx="206">
                  <c:v>0.14459999999999998</c:v>
                </c:pt>
                <c:pt idx="207">
                  <c:v>0.14346666666666666</c:v>
                </c:pt>
                <c:pt idx="208">
                  <c:v>0.14233333333333334</c:v>
                </c:pt>
                <c:pt idx="209">
                  <c:v>0.14133333333333334</c:v>
                </c:pt>
                <c:pt idx="210">
                  <c:v>0.14036666666666667</c:v>
                </c:pt>
                <c:pt idx="211">
                  <c:v>0.13956666666666667</c:v>
                </c:pt>
                <c:pt idx="212">
                  <c:v>0.13863333333333333</c:v>
                </c:pt>
                <c:pt idx="213">
                  <c:v>0.13780000000000001</c:v>
                </c:pt>
                <c:pt idx="214">
                  <c:v>0.13693333333333335</c:v>
                </c:pt>
                <c:pt idx="215">
                  <c:v>0.1363</c:v>
                </c:pt>
                <c:pt idx="216">
                  <c:v>0.13570000000000002</c:v>
                </c:pt>
                <c:pt idx="217">
                  <c:v>0.13520000000000001</c:v>
                </c:pt>
                <c:pt idx="218">
                  <c:v>0.1341</c:v>
                </c:pt>
                <c:pt idx="219">
                  <c:v>0.13289999999999999</c:v>
                </c:pt>
                <c:pt idx="220">
                  <c:v>0.13166666666666668</c:v>
                </c:pt>
                <c:pt idx="221">
                  <c:v>0.13046666666666668</c:v>
                </c:pt>
                <c:pt idx="222">
                  <c:v>0.12936666666666666</c:v>
                </c:pt>
                <c:pt idx="223">
                  <c:v>0.12833333333333335</c:v>
                </c:pt>
                <c:pt idx="224">
                  <c:v>0.1273</c:v>
                </c:pt>
                <c:pt idx="225">
                  <c:v>0.12623333333333334</c:v>
                </c:pt>
                <c:pt idx="226">
                  <c:v>0.12526666666666667</c:v>
                </c:pt>
                <c:pt idx="227">
                  <c:v>0.12426666666666665</c:v>
                </c:pt>
                <c:pt idx="228">
                  <c:v>0.12323333333333332</c:v>
                </c:pt>
                <c:pt idx="229">
                  <c:v>0.12203333333333333</c:v>
                </c:pt>
                <c:pt idx="230">
                  <c:v>0.12080666666666667</c:v>
                </c:pt>
                <c:pt idx="231">
                  <c:v>0.11959666666666667</c:v>
                </c:pt>
                <c:pt idx="232">
                  <c:v>0.11838333333333333</c:v>
                </c:pt>
                <c:pt idx="233">
                  <c:v>0.11721666666666668</c:v>
                </c:pt>
                <c:pt idx="234">
                  <c:v>0.11477666666666665</c:v>
                </c:pt>
                <c:pt idx="235">
                  <c:v>0.11235333333333335</c:v>
                </c:pt>
                <c:pt idx="236">
                  <c:v>0.10992</c:v>
                </c:pt>
                <c:pt idx="237">
                  <c:v>0.10760999999999998</c:v>
                </c:pt>
                <c:pt idx="238">
                  <c:v>0.10538666666666667</c:v>
                </c:pt>
                <c:pt idx="239">
                  <c:v>0.10317999999999999</c:v>
                </c:pt>
                <c:pt idx="240">
                  <c:v>0.10106333333333334</c:v>
                </c:pt>
                <c:pt idx="241">
                  <c:v>9.8960000000000006E-2</c:v>
                </c:pt>
                <c:pt idx="242">
                  <c:v>9.6926666666666661E-2</c:v>
                </c:pt>
                <c:pt idx="243">
                  <c:v>9.5003333333333329E-2</c:v>
                </c:pt>
                <c:pt idx="244">
                  <c:v>9.3109999999999984E-2</c:v>
                </c:pt>
                <c:pt idx="245">
                  <c:v>9.1296666666666679E-2</c:v>
                </c:pt>
                <c:pt idx="246">
                  <c:v>8.9466666666666653E-2</c:v>
                </c:pt>
                <c:pt idx="247">
                  <c:v>8.781333333333334E-2</c:v>
                </c:pt>
                <c:pt idx="248">
                  <c:v>8.6216666666666664E-2</c:v>
                </c:pt>
                <c:pt idx="249">
                  <c:v>8.4690000000000001E-2</c:v>
                </c:pt>
                <c:pt idx="250">
                  <c:v>8.1743333333333335E-2</c:v>
                </c:pt>
                <c:pt idx="251">
                  <c:v>7.9046666666666668E-2</c:v>
                </c:pt>
                <c:pt idx="252">
                  <c:v>7.6676666666666671E-2</c:v>
                </c:pt>
                <c:pt idx="253">
                  <c:v>7.4436666666666665E-2</c:v>
                </c:pt>
                <c:pt idx="254">
                  <c:v>7.2510000000000005E-2</c:v>
                </c:pt>
                <c:pt idx="255">
                  <c:v>7.1113333333333334E-2</c:v>
                </c:pt>
                <c:pt idx="256">
                  <c:v>7.0176666666666665E-2</c:v>
                </c:pt>
                <c:pt idx="257">
                  <c:v>6.9496666666666665E-2</c:v>
                </c:pt>
                <c:pt idx="258">
                  <c:v>6.8796666666666673E-2</c:v>
                </c:pt>
                <c:pt idx="259">
                  <c:v>6.8169999999999994E-2</c:v>
                </c:pt>
                <c:pt idx="260">
                  <c:v>6.7510000000000001E-2</c:v>
                </c:pt>
                <c:pt idx="261">
                  <c:v>6.694E-2</c:v>
                </c:pt>
                <c:pt idx="262">
                  <c:v>6.6316666666666677E-2</c:v>
                </c:pt>
                <c:pt idx="263">
                  <c:v>6.5793333333333329E-2</c:v>
                </c:pt>
                <c:pt idx="264">
                  <c:v>6.5293333333333328E-2</c:v>
                </c:pt>
                <c:pt idx="265">
                  <c:v>6.497E-2</c:v>
                </c:pt>
                <c:pt idx="266">
                  <c:v>6.4273333333333335E-2</c:v>
                </c:pt>
                <c:pt idx="267">
                  <c:v>6.3396666666666671E-2</c:v>
                </c:pt>
                <c:pt idx="268">
                  <c:v>6.2300000000000001E-2</c:v>
                </c:pt>
                <c:pt idx="269">
                  <c:v>6.1060000000000003E-2</c:v>
                </c:pt>
                <c:pt idx="270">
                  <c:v>5.9506666666666673E-2</c:v>
                </c:pt>
                <c:pt idx="271">
                  <c:v>5.7793333333333335E-2</c:v>
                </c:pt>
                <c:pt idx="272">
                  <c:v>5.5853333333333331E-2</c:v>
                </c:pt>
                <c:pt idx="273">
                  <c:v>5.4233333333333335E-2</c:v>
                </c:pt>
                <c:pt idx="274">
                  <c:v>5.267666666666667E-2</c:v>
                </c:pt>
                <c:pt idx="275">
                  <c:v>5.106666666666667E-2</c:v>
                </c:pt>
                <c:pt idx="276">
                  <c:v>4.935666666666666E-2</c:v>
                </c:pt>
                <c:pt idx="277">
                  <c:v>4.7609999999999993E-2</c:v>
                </c:pt>
                <c:pt idx="278">
                  <c:v>4.6046666666666659E-2</c:v>
                </c:pt>
                <c:pt idx="279">
                  <c:v>4.4586666666666663E-2</c:v>
                </c:pt>
                <c:pt idx="280">
                  <c:v>4.3193333333333334E-2</c:v>
                </c:pt>
                <c:pt idx="281">
                  <c:v>4.1983333333333338E-2</c:v>
                </c:pt>
                <c:pt idx="282">
                  <c:v>3.9546666666666667E-2</c:v>
                </c:pt>
                <c:pt idx="283">
                  <c:v>3.7253333333333333E-2</c:v>
                </c:pt>
                <c:pt idx="284">
                  <c:v>3.492E-2</c:v>
                </c:pt>
                <c:pt idx="285">
                  <c:v>3.3010000000000005E-2</c:v>
                </c:pt>
                <c:pt idx="286">
                  <c:v>3.107E-2</c:v>
                </c:pt>
                <c:pt idx="287">
                  <c:v>2.9343333333333332E-2</c:v>
                </c:pt>
                <c:pt idx="288">
                  <c:v>2.7666666666666669E-2</c:v>
                </c:pt>
                <c:pt idx="289">
                  <c:v>2.6093333333333333E-2</c:v>
                </c:pt>
                <c:pt idx="290">
                  <c:v>2.4643333333333333E-2</c:v>
                </c:pt>
                <c:pt idx="291">
                  <c:v>2.3200000000000002E-2</c:v>
                </c:pt>
                <c:pt idx="292">
                  <c:v>2.1976666666666669E-2</c:v>
                </c:pt>
                <c:pt idx="293">
                  <c:v>2.0839999999999997E-2</c:v>
                </c:pt>
                <c:pt idx="294">
                  <c:v>1.9753333333333335E-2</c:v>
                </c:pt>
                <c:pt idx="295">
                  <c:v>1.8813333333333335E-2</c:v>
                </c:pt>
                <c:pt idx="296">
                  <c:v>1.804E-2</c:v>
                </c:pt>
                <c:pt idx="297">
                  <c:v>1.7526666666666666E-2</c:v>
                </c:pt>
                <c:pt idx="298">
                  <c:v>1.6729999999999998E-2</c:v>
                </c:pt>
                <c:pt idx="299">
                  <c:v>1.5833333333333335E-2</c:v>
                </c:pt>
                <c:pt idx="300">
                  <c:v>1.486E-2</c:v>
                </c:pt>
                <c:pt idx="301">
                  <c:v>1.392E-2</c:v>
                </c:pt>
                <c:pt idx="302">
                  <c:v>1.3364000000000001E-2</c:v>
                </c:pt>
                <c:pt idx="303">
                  <c:v>1.3271333333333335E-2</c:v>
                </c:pt>
                <c:pt idx="304">
                  <c:v>1.3509999999999999E-2</c:v>
                </c:pt>
                <c:pt idx="305">
                  <c:v>1.3936666666666667E-2</c:v>
                </c:pt>
                <c:pt idx="306">
                  <c:v>1.4160000000000001E-2</c:v>
                </c:pt>
                <c:pt idx="307">
                  <c:v>1.4373333333333333E-2</c:v>
                </c:pt>
                <c:pt idx="308">
                  <c:v>1.4573333333333332E-2</c:v>
                </c:pt>
                <c:pt idx="309">
                  <c:v>1.4970000000000002E-2</c:v>
                </c:pt>
                <c:pt idx="310">
                  <c:v>1.5593333333333334E-2</c:v>
                </c:pt>
                <c:pt idx="311">
                  <c:v>1.6443333333333334E-2</c:v>
                </c:pt>
                <c:pt idx="312">
                  <c:v>1.7596666666666667E-2</c:v>
                </c:pt>
                <c:pt idx="313">
                  <c:v>1.8783333333333332E-2</c:v>
                </c:pt>
                <c:pt idx="314">
                  <c:v>2.118666666666667E-2</c:v>
                </c:pt>
                <c:pt idx="315">
                  <c:v>2.3283333333333333E-2</c:v>
                </c:pt>
                <c:pt idx="316">
                  <c:v>2.4713333333333334E-2</c:v>
                </c:pt>
                <c:pt idx="317">
                  <c:v>2.5203333333333338E-2</c:v>
                </c:pt>
                <c:pt idx="318">
                  <c:v>2.4946666666666669E-2</c:v>
                </c:pt>
                <c:pt idx="319">
                  <c:v>2.4243333333333329E-2</c:v>
                </c:pt>
                <c:pt idx="320">
                  <c:v>2.3596666666666665E-2</c:v>
                </c:pt>
                <c:pt idx="321">
                  <c:v>2.2809999999999997E-2</c:v>
                </c:pt>
                <c:pt idx="322">
                  <c:v>2.2076666666666665E-2</c:v>
                </c:pt>
                <c:pt idx="323">
                  <c:v>2.0970000000000003E-2</c:v>
                </c:pt>
                <c:pt idx="324">
                  <c:v>1.9403333333333335E-2</c:v>
                </c:pt>
                <c:pt idx="325">
                  <c:v>1.7604333333333333E-2</c:v>
                </c:pt>
                <c:pt idx="326">
                  <c:v>1.6152333333333335E-2</c:v>
                </c:pt>
                <c:pt idx="327">
                  <c:v>1.5316999999999999E-2</c:v>
                </c:pt>
                <c:pt idx="328">
                  <c:v>1.4985E-2</c:v>
                </c:pt>
                <c:pt idx="329">
                  <c:v>1.4688999999999999E-2</c:v>
                </c:pt>
                <c:pt idx="330">
                  <c:v>1.4453333333333332E-2</c:v>
                </c:pt>
                <c:pt idx="331">
                  <c:v>1.4156666666666666E-2</c:v>
                </c:pt>
                <c:pt idx="332">
                  <c:v>1.3416666666666667E-2</c:v>
                </c:pt>
                <c:pt idx="333">
                  <c:v>1.2646666666666667E-2</c:v>
                </c:pt>
                <c:pt idx="334">
                  <c:v>1.2273333333333332E-2</c:v>
                </c:pt>
                <c:pt idx="335">
                  <c:v>1.2873333333333334E-2</c:v>
                </c:pt>
                <c:pt idx="336">
                  <c:v>1.4400000000000001E-2</c:v>
                </c:pt>
                <c:pt idx="337">
                  <c:v>1.7010000000000001E-2</c:v>
                </c:pt>
                <c:pt idx="338">
                  <c:v>1.9723333333333332E-2</c:v>
                </c:pt>
                <c:pt idx="339">
                  <c:v>2.166333333333333E-2</c:v>
                </c:pt>
                <c:pt idx="340">
                  <c:v>2.1026666666666666E-2</c:v>
                </c:pt>
                <c:pt idx="341">
                  <c:v>1.8946666666666667E-2</c:v>
                </c:pt>
                <c:pt idx="342">
                  <c:v>1.6E-2</c:v>
                </c:pt>
                <c:pt idx="343">
                  <c:v>1.3973333333333332E-2</c:v>
                </c:pt>
                <c:pt idx="344">
                  <c:v>1.2916666666666667E-2</c:v>
                </c:pt>
                <c:pt idx="345">
                  <c:v>1.2919999999999999E-2</c:v>
                </c:pt>
                <c:pt idx="346">
                  <c:v>1.47E-2</c:v>
                </c:pt>
                <c:pt idx="347">
                  <c:v>1.7116666666666665E-2</c:v>
                </c:pt>
                <c:pt idx="348">
                  <c:v>1.8366666666666667E-2</c:v>
                </c:pt>
                <c:pt idx="349">
                  <c:v>1.7810000000000003E-2</c:v>
                </c:pt>
                <c:pt idx="350">
                  <c:v>1.6353333333333334E-2</c:v>
                </c:pt>
                <c:pt idx="351">
                  <c:v>1.5366666666666667E-2</c:v>
                </c:pt>
                <c:pt idx="352">
                  <c:v>1.5346666666666666E-2</c:v>
                </c:pt>
                <c:pt idx="353">
                  <c:v>1.6233333333333332E-2</c:v>
                </c:pt>
                <c:pt idx="354">
                  <c:v>1.8633333333333332E-2</c:v>
                </c:pt>
                <c:pt idx="355">
                  <c:v>2.0279999999999999E-2</c:v>
                </c:pt>
                <c:pt idx="356">
                  <c:v>1.9663333333333335E-2</c:v>
                </c:pt>
                <c:pt idx="357">
                  <c:v>1.7583333333333336E-2</c:v>
                </c:pt>
                <c:pt idx="358">
                  <c:v>1.6716666666666668E-2</c:v>
                </c:pt>
                <c:pt idx="359">
                  <c:v>1.8620000000000001E-2</c:v>
                </c:pt>
                <c:pt idx="360">
                  <c:v>2.1273333333333335E-2</c:v>
                </c:pt>
                <c:pt idx="361">
                  <c:v>2.198E-2</c:v>
                </c:pt>
                <c:pt idx="362">
                  <c:v>2.0413333333333335E-2</c:v>
                </c:pt>
                <c:pt idx="363">
                  <c:v>1.8803333333333335E-2</c:v>
                </c:pt>
                <c:pt idx="364">
                  <c:v>1.8436666666666667E-2</c:v>
                </c:pt>
                <c:pt idx="365">
                  <c:v>1.7626666666666665E-2</c:v>
                </c:pt>
                <c:pt idx="366">
                  <c:v>1.6920000000000001E-2</c:v>
                </c:pt>
                <c:pt idx="367">
                  <c:v>1.6446666666666665E-2</c:v>
                </c:pt>
                <c:pt idx="368">
                  <c:v>1.5853333333333334E-2</c:v>
                </c:pt>
                <c:pt idx="369">
                  <c:v>1.5163999999999999E-2</c:v>
                </c:pt>
                <c:pt idx="370">
                  <c:v>1.4441000000000001E-2</c:v>
                </c:pt>
                <c:pt idx="371">
                  <c:v>1.3533333333333333E-2</c:v>
                </c:pt>
                <c:pt idx="372">
                  <c:v>1.2143000000000001E-2</c:v>
                </c:pt>
                <c:pt idx="373">
                  <c:v>1.0718999999999999E-2</c:v>
                </c:pt>
                <c:pt idx="374">
                  <c:v>9.0156666666666666E-3</c:v>
                </c:pt>
                <c:pt idx="375">
                  <c:v>6.7109999999999991E-3</c:v>
                </c:pt>
                <c:pt idx="376">
                  <c:v>3.4493333333333333E-3</c:v>
                </c:pt>
                <c:pt idx="377">
                  <c:v>1.6366666666666667E-3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fit</c:v>
                </c:tx>
                <c:spPr>
                  <a:ln w="15875" cap="rnd">
                    <a:solidFill>
                      <a:srgbClr val="0E2841">
                        <a:lumMod val="90000"/>
                        <a:lumOff val="10000"/>
                      </a:srgb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autocorrelation!$A$2:$A$491</c15:sqref>
                        </c15:formulaRef>
                      </c:ext>
                    </c:extLst>
                    <c:numCache>
                      <c:formatCode>General</c:formatCode>
                      <c:ptCount val="490"/>
                      <c:pt idx="0">
                        <c:v>8.7499999999999994E-2</c:v>
                      </c:pt>
                      <c:pt idx="1">
                        <c:v>0.1</c:v>
                      </c:pt>
                      <c:pt idx="2">
                        <c:v>0.1125</c:v>
                      </c:pt>
                      <c:pt idx="3">
                        <c:v>0.125</c:v>
                      </c:pt>
                      <c:pt idx="4">
                        <c:v>0.13750000000000001</c:v>
                      </c:pt>
                      <c:pt idx="5">
                        <c:v>0.15</c:v>
                      </c:pt>
                      <c:pt idx="6">
                        <c:v>0.16250000000000001</c:v>
                      </c:pt>
                      <c:pt idx="7">
                        <c:v>0.17499999999999999</c:v>
                      </c:pt>
                      <c:pt idx="8">
                        <c:v>0.1875</c:v>
                      </c:pt>
                      <c:pt idx="9">
                        <c:v>0.2</c:v>
                      </c:pt>
                      <c:pt idx="10">
                        <c:v>0.21249999999999999</c:v>
                      </c:pt>
                      <c:pt idx="11">
                        <c:v>0.22500000000000001</c:v>
                      </c:pt>
                      <c:pt idx="12">
                        <c:v>0.23749999999999999</c:v>
                      </c:pt>
                      <c:pt idx="13">
                        <c:v>0.25</c:v>
                      </c:pt>
                      <c:pt idx="14">
                        <c:v>0.26250000000000001</c:v>
                      </c:pt>
                      <c:pt idx="15">
                        <c:v>0.27500000000000002</c:v>
                      </c:pt>
                      <c:pt idx="16">
                        <c:v>0.28749999999999998</c:v>
                      </c:pt>
                      <c:pt idx="17">
                        <c:v>0.3</c:v>
                      </c:pt>
                      <c:pt idx="18">
                        <c:v>0.3125</c:v>
                      </c:pt>
                      <c:pt idx="19">
                        <c:v>0.32500000000000001</c:v>
                      </c:pt>
                      <c:pt idx="20">
                        <c:v>0.33750000000000002</c:v>
                      </c:pt>
                      <c:pt idx="21">
                        <c:v>0.35</c:v>
                      </c:pt>
                      <c:pt idx="22">
                        <c:v>0.36249999999999999</c:v>
                      </c:pt>
                      <c:pt idx="23">
                        <c:v>0.375</c:v>
                      </c:pt>
                      <c:pt idx="24">
                        <c:v>0.38750000000000001</c:v>
                      </c:pt>
                      <c:pt idx="25">
                        <c:v>0.4</c:v>
                      </c:pt>
                      <c:pt idx="26">
                        <c:v>0.42499999999999999</c:v>
                      </c:pt>
                      <c:pt idx="27">
                        <c:v>0.45</c:v>
                      </c:pt>
                      <c:pt idx="28">
                        <c:v>0.47499999999999998</c:v>
                      </c:pt>
                      <c:pt idx="29">
                        <c:v>0.5</c:v>
                      </c:pt>
                      <c:pt idx="30">
                        <c:v>0.52500000000000002</c:v>
                      </c:pt>
                      <c:pt idx="31">
                        <c:v>0.55000000000000004</c:v>
                      </c:pt>
                      <c:pt idx="32">
                        <c:v>0.57499999999999996</c:v>
                      </c:pt>
                      <c:pt idx="33">
                        <c:v>0.6</c:v>
                      </c:pt>
                      <c:pt idx="34">
                        <c:v>0.625</c:v>
                      </c:pt>
                      <c:pt idx="35">
                        <c:v>0.65</c:v>
                      </c:pt>
                      <c:pt idx="36">
                        <c:v>0.67500000000000004</c:v>
                      </c:pt>
                      <c:pt idx="37">
                        <c:v>0.7</c:v>
                      </c:pt>
                      <c:pt idx="38">
                        <c:v>0.72499999999999998</c:v>
                      </c:pt>
                      <c:pt idx="39">
                        <c:v>0.75</c:v>
                      </c:pt>
                      <c:pt idx="40">
                        <c:v>0.77500000000000002</c:v>
                      </c:pt>
                      <c:pt idx="41">
                        <c:v>0.8</c:v>
                      </c:pt>
                      <c:pt idx="42">
                        <c:v>0.85</c:v>
                      </c:pt>
                      <c:pt idx="43">
                        <c:v>0.9</c:v>
                      </c:pt>
                      <c:pt idx="44">
                        <c:v>0.95</c:v>
                      </c:pt>
                      <c:pt idx="45">
                        <c:v>1</c:v>
                      </c:pt>
                      <c:pt idx="46">
                        <c:v>1.05</c:v>
                      </c:pt>
                      <c:pt idx="47">
                        <c:v>1.1000000000000001</c:v>
                      </c:pt>
                      <c:pt idx="48">
                        <c:v>1.1499999999999999</c:v>
                      </c:pt>
                      <c:pt idx="49">
                        <c:v>1.2</c:v>
                      </c:pt>
                      <c:pt idx="50">
                        <c:v>1.25</c:v>
                      </c:pt>
                      <c:pt idx="51">
                        <c:v>1.3</c:v>
                      </c:pt>
                      <c:pt idx="52">
                        <c:v>1.35</c:v>
                      </c:pt>
                      <c:pt idx="53">
                        <c:v>1.4</c:v>
                      </c:pt>
                      <c:pt idx="54">
                        <c:v>1.45</c:v>
                      </c:pt>
                      <c:pt idx="55">
                        <c:v>1.5</c:v>
                      </c:pt>
                      <c:pt idx="56">
                        <c:v>1.55</c:v>
                      </c:pt>
                      <c:pt idx="57">
                        <c:v>1.6</c:v>
                      </c:pt>
                      <c:pt idx="58">
                        <c:v>1.7</c:v>
                      </c:pt>
                      <c:pt idx="59">
                        <c:v>1.8</c:v>
                      </c:pt>
                      <c:pt idx="60">
                        <c:v>1.9</c:v>
                      </c:pt>
                      <c:pt idx="61">
                        <c:v>2</c:v>
                      </c:pt>
                      <c:pt idx="62">
                        <c:v>2.1</c:v>
                      </c:pt>
                      <c:pt idx="63">
                        <c:v>2.2000000000000002</c:v>
                      </c:pt>
                      <c:pt idx="64">
                        <c:v>2.2999999999999998</c:v>
                      </c:pt>
                      <c:pt idx="65">
                        <c:v>2.4</c:v>
                      </c:pt>
                      <c:pt idx="66">
                        <c:v>2.5</c:v>
                      </c:pt>
                      <c:pt idx="67">
                        <c:v>2.6</c:v>
                      </c:pt>
                      <c:pt idx="68">
                        <c:v>2.7</c:v>
                      </c:pt>
                      <c:pt idx="69">
                        <c:v>2.8</c:v>
                      </c:pt>
                      <c:pt idx="70">
                        <c:v>2.9</c:v>
                      </c:pt>
                      <c:pt idx="71">
                        <c:v>3</c:v>
                      </c:pt>
                      <c:pt idx="72">
                        <c:v>3.1</c:v>
                      </c:pt>
                      <c:pt idx="73">
                        <c:v>3.2</c:v>
                      </c:pt>
                      <c:pt idx="74">
                        <c:v>3.4</c:v>
                      </c:pt>
                      <c:pt idx="75">
                        <c:v>3.6</c:v>
                      </c:pt>
                      <c:pt idx="76">
                        <c:v>3.8</c:v>
                      </c:pt>
                      <c:pt idx="77">
                        <c:v>4</c:v>
                      </c:pt>
                      <c:pt idx="78">
                        <c:v>4.2</c:v>
                      </c:pt>
                      <c:pt idx="79">
                        <c:v>4.4000000000000004</c:v>
                      </c:pt>
                      <c:pt idx="80">
                        <c:v>4.5999999999999996</c:v>
                      </c:pt>
                      <c:pt idx="81">
                        <c:v>4.8</c:v>
                      </c:pt>
                      <c:pt idx="82">
                        <c:v>5</c:v>
                      </c:pt>
                      <c:pt idx="83">
                        <c:v>5.2</c:v>
                      </c:pt>
                      <c:pt idx="84">
                        <c:v>5.4</c:v>
                      </c:pt>
                      <c:pt idx="85">
                        <c:v>5.6</c:v>
                      </c:pt>
                      <c:pt idx="86">
                        <c:v>5.8</c:v>
                      </c:pt>
                      <c:pt idx="87">
                        <c:v>6</c:v>
                      </c:pt>
                      <c:pt idx="88">
                        <c:v>6.2</c:v>
                      </c:pt>
                      <c:pt idx="89">
                        <c:v>6.4</c:v>
                      </c:pt>
                      <c:pt idx="90">
                        <c:v>6.8</c:v>
                      </c:pt>
                      <c:pt idx="91">
                        <c:v>7.2</c:v>
                      </c:pt>
                      <c:pt idx="92">
                        <c:v>7.6</c:v>
                      </c:pt>
                      <c:pt idx="93">
                        <c:v>8</c:v>
                      </c:pt>
                      <c:pt idx="94">
                        <c:v>8.4</c:v>
                      </c:pt>
                      <c:pt idx="95">
                        <c:v>8.8000000000000007</c:v>
                      </c:pt>
                      <c:pt idx="96">
                        <c:v>9.1999999999999993</c:v>
                      </c:pt>
                      <c:pt idx="97">
                        <c:v>9.6</c:v>
                      </c:pt>
                      <c:pt idx="98">
                        <c:v>10</c:v>
                      </c:pt>
                      <c:pt idx="99">
                        <c:v>10.4</c:v>
                      </c:pt>
                      <c:pt idx="100">
                        <c:v>10.8</c:v>
                      </c:pt>
                      <c:pt idx="101">
                        <c:v>11.2</c:v>
                      </c:pt>
                      <c:pt idx="102">
                        <c:v>11.6</c:v>
                      </c:pt>
                      <c:pt idx="103">
                        <c:v>12</c:v>
                      </c:pt>
                      <c:pt idx="104">
                        <c:v>12.4</c:v>
                      </c:pt>
                      <c:pt idx="105">
                        <c:v>12.8</c:v>
                      </c:pt>
                      <c:pt idx="106">
                        <c:v>13.6</c:v>
                      </c:pt>
                      <c:pt idx="107">
                        <c:v>14.4</c:v>
                      </c:pt>
                      <c:pt idx="108">
                        <c:v>15.2</c:v>
                      </c:pt>
                      <c:pt idx="109">
                        <c:v>16</c:v>
                      </c:pt>
                      <c:pt idx="110">
                        <c:v>16.8</c:v>
                      </c:pt>
                      <c:pt idx="111">
                        <c:v>17.600000000000001</c:v>
                      </c:pt>
                      <c:pt idx="112">
                        <c:v>18.399999999999999</c:v>
                      </c:pt>
                      <c:pt idx="113">
                        <c:v>19.2</c:v>
                      </c:pt>
                      <c:pt idx="114">
                        <c:v>20</c:v>
                      </c:pt>
                      <c:pt idx="115">
                        <c:v>20.8</c:v>
                      </c:pt>
                      <c:pt idx="116">
                        <c:v>21.6</c:v>
                      </c:pt>
                      <c:pt idx="117">
                        <c:v>22.4</c:v>
                      </c:pt>
                      <c:pt idx="118">
                        <c:v>23.2</c:v>
                      </c:pt>
                      <c:pt idx="119">
                        <c:v>24</c:v>
                      </c:pt>
                      <c:pt idx="120">
                        <c:v>24.8</c:v>
                      </c:pt>
                      <c:pt idx="121">
                        <c:v>25.6</c:v>
                      </c:pt>
                      <c:pt idx="122">
                        <c:v>27.2</c:v>
                      </c:pt>
                      <c:pt idx="123">
                        <c:v>28.8</c:v>
                      </c:pt>
                      <c:pt idx="124">
                        <c:v>30.4</c:v>
                      </c:pt>
                      <c:pt idx="125">
                        <c:v>32</c:v>
                      </c:pt>
                      <c:pt idx="126">
                        <c:v>33.6</c:v>
                      </c:pt>
                      <c:pt idx="127">
                        <c:v>35.200000000000003</c:v>
                      </c:pt>
                      <c:pt idx="128">
                        <c:v>36.799999999999997</c:v>
                      </c:pt>
                      <c:pt idx="129">
                        <c:v>38.4</c:v>
                      </c:pt>
                      <c:pt idx="130">
                        <c:v>40</c:v>
                      </c:pt>
                      <c:pt idx="131">
                        <c:v>41.6</c:v>
                      </c:pt>
                      <c:pt idx="132">
                        <c:v>43.2</c:v>
                      </c:pt>
                      <c:pt idx="133">
                        <c:v>44.8</c:v>
                      </c:pt>
                      <c:pt idx="134">
                        <c:v>46.4</c:v>
                      </c:pt>
                      <c:pt idx="135">
                        <c:v>48</c:v>
                      </c:pt>
                      <c:pt idx="136">
                        <c:v>49.6</c:v>
                      </c:pt>
                      <c:pt idx="137">
                        <c:v>51.2</c:v>
                      </c:pt>
                      <c:pt idx="138">
                        <c:v>54.4</c:v>
                      </c:pt>
                      <c:pt idx="139">
                        <c:v>57.6</c:v>
                      </c:pt>
                      <c:pt idx="140">
                        <c:v>60.8</c:v>
                      </c:pt>
                      <c:pt idx="141">
                        <c:v>64</c:v>
                      </c:pt>
                      <c:pt idx="142">
                        <c:v>67.2</c:v>
                      </c:pt>
                      <c:pt idx="143">
                        <c:v>70.400000000000006</c:v>
                      </c:pt>
                      <c:pt idx="144">
                        <c:v>73.599999999999994</c:v>
                      </c:pt>
                      <c:pt idx="145">
                        <c:v>76.8</c:v>
                      </c:pt>
                      <c:pt idx="146">
                        <c:v>80</c:v>
                      </c:pt>
                      <c:pt idx="147">
                        <c:v>83.2</c:v>
                      </c:pt>
                      <c:pt idx="148">
                        <c:v>86.4</c:v>
                      </c:pt>
                      <c:pt idx="149">
                        <c:v>89.6</c:v>
                      </c:pt>
                      <c:pt idx="150">
                        <c:v>92.8</c:v>
                      </c:pt>
                      <c:pt idx="151">
                        <c:v>96</c:v>
                      </c:pt>
                      <c:pt idx="152">
                        <c:v>99.2</c:v>
                      </c:pt>
                      <c:pt idx="153">
                        <c:v>102.4</c:v>
                      </c:pt>
                      <c:pt idx="154">
                        <c:v>108.8</c:v>
                      </c:pt>
                      <c:pt idx="155">
                        <c:v>115.2</c:v>
                      </c:pt>
                      <c:pt idx="156">
                        <c:v>121.6</c:v>
                      </c:pt>
                      <c:pt idx="157">
                        <c:v>128</c:v>
                      </c:pt>
                      <c:pt idx="158">
                        <c:v>134.4</c:v>
                      </c:pt>
                      <c:pt idx="159">
                        <c:v>140.80000000000001</c:v>
                      </c:pt>
                      <c:pt idx="160">
                        <c:v>147.19999999999999</c:v>
                      </c:pt>
                      <c:pt idx="161">
                        <c:v>153.6</c:v>
                      </c:pt>
                      <c:pt idx="162">
                        <c:v>160</c:v>
                      </c:pt>
                      <c:pt idx="163">
                        <c:v>166.4</c:v>
                      </c:pt>
                      <c:pt idx="164">
                        <c:v>172.8</c:v>
                      </c:pt>
                      <c:pt idx="165">
                        <c:v>179.2</c:v>
                      </c:pt>
                      <c:pt idx="166">
                        <c:v>185.6</c:v>
                      </c:pt>
                      <c:pt idx="167">
                        <c:v>192</c:v>
                      </c:pt>
                      <c:pt idx="168">
                        <c:v>198.4</c:v>
                      </c:pt>
                      <c:pt idx="169">
                        <c:v>204.8</c:v>
                      </c:pt>
                      <c:pt idx="170">
                        <c:v>217.6</c:v>
                      </c:pt>
                      <c:pt idx="171">
                        <c:v>230.4</c:v>
                      </c:pt>
                      <c:pt idx="172">
                        <c:v>243.2</c:v>
                      </c:pt>
                      <c:pt idx="173">
                        <c:v>256</c:v>
                      </c:pt>
                      <c:pt idx="174">
                        <c:v>268.8</c:v>
                      </c:pt>
                      <c:pt idx="175">
                        <c:v>281.60000000000002</c:v>
                      </c:pt>
                      <c:pt idx="176">
                        <c:v>294.39999999999998</c:v>
                      </c:pt>
                      <c:pt idx="177">
                        <c:v>307.2</c:v>
                      </c:pt>
                      <c:pt idx="178">
                        <c:v>320</c:v>
                      </c:pt>
                      <c:pt idx="179">
                        <c:v>332.8</c:v>
                      </c:pt>
                      <c:pt idx="180">
                        <c:v>345.6</c:v>
                      </c:pt>
                      <c:pt idx="181">
                        <c:v>358.4</c:v>
                      </c:pt>
                      <c:pt idx="182">
                        <c:v>371.2</c:v>
                      </c:pt>
                      <c:pt idx="183">
                        <c:v>384</c:v>
                      </c:pt>
                      <c:pt idx="184">
                        <c:v>396.8</c:v>
                      </c:pt>
                      <c:pt idx="185">
                        <c:v>409.6</c:v>
                      </c:pt>
                      <c:pt idx="186">
                        <c:v>435.2</c:v>
                      </c:pt>
                      <c:pt idx="187">
                        <c:v>460.8</c:v>
                      </c:pt>
                      <c:pt idx="188">
                        <c:v>486.4</c:v>
                      </c:pt>
                      <c:pt idx="189">
                        <c:v>512</c:v>
                      </c:pt>
                      <c:pt idx="190">
                        <c:v>537.6</c:v>
                      </c:pt>
                      <c:pt idx="191">
                        <c:v>563.20000000000005</c:v>
                      </c:pt>
                      <c:pt idx="192">
                        <c:v>588.79999999999995</c:v>
                      </c:pt>
                      <c:pt idx="193">
                        <c:v>614.4</c:v>
                      </c:pt>
                      <c:pt idx="194">
                        <c:v>640</c:v>
                      </c:pt>
                      <c:pt idx="195">
                        <c:v>665.6</c:v>
                      </c:pt>
                      <c:pt idx="196">
                        <c:v>691.2</c:v>
                      </c:pt>
                      <c:pt idx="197">
                        <c:v>716.8</c:v>
                      </c:pt>
                      <c:pt idx="198">
                        <c:v>742.4</c:v>
                      </c:pt>
                      <c:pt idx="199">
                        <c:v>768</c:v>
                      </c:pt>
                      <c:pt idx="200">
                        <c:v>793.6</c:v>
                      </c:pt>
                      <c:pt idx="201">
                        <c:v>819.2</c:v>
                      </c:pt>
                      <c:pt idx="202">
                        <c:v>870.4</c:v>
                      </c:pt>
                      <c:pt idx="203">
                        <c:v>921.6</c:v>
                      </c:pt>
                      <c:pt idx="204">
                        <c:v>972.8</c:v>
                      </c:pt>
                      <c:pt idx="205">
                        <c:v>1024</c:v>
                      </c:pt>
                      <c:pt idx="206">
                        <c:v>1075</c:v>
                      </c:pt>
                      <c:pt idx="207">
                        <c:v>1126</c:v>
                      </c:pt>
                      <c:pt idx="208">
                        <c:v>1178</c:v>
                      </c:pt>
                      <c:pt idx="209">
                        <c:v>1229</c:v>
                      </c:pt>
                      <c:pt idx="210">
                        <c:v>1280</c:v>
                      </c:pt>
                      <c:pt idx="211">
                        <c:v>1331</c:v>
                      </c:pt>
                      <c:pt idx="212">
                        <c:v>1382</c:v>
                      </c:pt>
                      <c:pt idx="213">
                        <c:v>1434</c:v>
                      </c:pt>
                      <c:pt idx="214">
                        <c:v>1485</c:v>
                      </c:pt>
                      <c:pt idx="215">
                        <c:v>1536</c:v>
                      </c:pt>
                      <c:pt idx="216">
                        <c:v>1587</c:v>
                      </c:pt>
                      <c:pt idx="217">
                        <c:v>1638</c:v>
                      </c:pt>
                      <c:pt idx="218">
                        <c:v>1741</c:v>
                      </c:pt>
                      <c:pt idx="219">
                        <c:v>1843</c:v>
                      </c:pt>
                      <c:pt idx="220">
                        <c:v>1946</c:v>
                      </c:pt>
                      <c:pt idx="221">
                        <c:v>2048</c:v>
                      </c:pt>
                      <c:pt idx="222">
                        <c:v>2150</c:v>
                      </c:pt>
                      <c:pt idx="223">
                        <c:v>2253</c:v>
                      </c:pt>
                      <c:pt idx="224">
                        <c:v>2355</c:v>
                      </c:pt>
                      <c:pt idx="225">
                        <c:v>2458</c:v>
                      </c:pt>
                      <c:pt idx="226">
                        <c:v>2560</c:v>
                      </c:pt>
                      <c:pt idx="227">
                        <c:v>2662</c:v>
                      </c:pt>
                      <c:pt idx="228">
                        <c:v>2765</c:v>
                      </c:pt>
                      <c:pt idx="229">
                        <c:v>2867</c:v>
                      </c:pt>
                      <c:pt idx="230">
                        <c:v>2970</c:v>
                      </c:pt>
                      <c:pt idx="231">
                        <c:v>3072</c:v>
                      </c:pt>
                      <c:pt idx="232">
                        <c:v>3174</c:v>
                      </c:pt>
                      <c:pt idx="233">
                        <c:v>3277</c:v>
                      </c:pt>
                      <c:pt idx="234">
                        <c:v>3482</c:v>
                      </c:pt>
                      <c:pt idx="235">
                        <c:v>3686</c:v>
                      </c:pt>
                      <c:pt idx="236">
                        <c:v>3891</c:v>
                      </c:pt>
                      <c:pt idx="237">
                        <c:v>4096</c:v>
                      </c:pt>
                      <c:pt idx="238">
                        <c:v>4301</c:v>
                      </c:pt>
                      <c:pt idx="239">
                        <c:v>4506</c:v>
                      </c:pt>
                      <c:pt idx="240">
                        <c:v>4710</c:v>
                      </c:pt>
                      <c:pt idx="241">
                        <c:v>4915</c:v>
                      </c:pt>
                      <c:pt idx="242">
                        <c:v>5120</c:v>
                      </c:pt>
                      <c:pt idx="243">
                        <c:v>5325</c:v>
                      </c:pt>
                      <c:pt idx="244">
                        <c:v>5530</c:v>
                      </c:pt>
                      <c:pt idx="245">
                        <c:v>5734</c:v>
                      </c:pt>
                      <c:pt idx="246">
                        <c:v>5939</c:v>
                      </c:pt>
                      <c:pt idx="247">
                        <c:v>6144</c:v>
                      </c:pt>
                      <c:pt idx="248">
                        <c:v>6349</c:v>
                      </c:pt>
                      <c:pt idx="249">
                        <c:v>6554</c:v>
                      </c:pt>
                      <c:pt idx="250">
                        <c:v>6963</c:v>
                      </c:pt>
                      <c:pt idx="251">
                        <c:v>7373</c:v>
                      </c:pt>
                      <c:pt idx="252">
                        <c:v>7782</c:v>
                      </c:pt>
                      <c:pt idx="253">
                        <c:v>8192</c:v>
                      </c:pt>
                      <c:pt idx="254">
                        <c:v>8602</c:v>
                      </c:pt>
                      <c:pt idx="255">
                        <c:v>9011</c:v>
                      </c:pt>
                      <c:pt idx="256">
                        <c:v>9421</c:v>
                      </c:pt>
                      <c:pt idx="257">
                        <c:v>9830</c:v>
                      </c:pt>
                      <c:pt idx="258" formatCode="0.00E+00">
                        <c:v>10240</c:v>
                      </c:pt>
                      <c:pt idx="259" formatCode="0.00E+00">
                        <c:v>10650</c:v>
                      </c:pt>
                      <c:pt idx="260" formatCode="0.00E+00">
                        <c:v>11060</c:v>
                      </c:pt>
                      <c:pt idx="261" formatCode="0.00E+00">
                        <c:v>11470</c:v>
                      </c:pt>
                      <c:pt idx="262" formatCode="0.00E+00">
                        <c:v>11880</c:v>
                      </c:pt>
                      <c:pt idx="263" formatCode="0.00E+00">
                        <c:v>12290</c:v>
                      </c:pt>
                      <c:pt idx="264" formatCode="0.00E+00">
                        <c:v>12700</c:v>
                      </c:pt>
                      <c:pt idx="265" formatCode="0.00E+00">
                        <c:v>13110</c:v>
                      </c:pt>
                      <c:pt idx="266" formatCode="0.00E+00">
                        <c:v>13930</c:v>
                      </c:pt>
                      <c:pt idx="267" formatCode="0.00E+00">
                        <c:v>14750</c:v>
                      </c:pt>
                      <c:pt idx="268" formatCode="0.00E+00">
                        <c:v>15560</c:v>
                      </c:pt>
                      <c:pt idx="269" formatCode="0.00E+00">
                        <c:v>16380</c:v>
                      </c:pt>
                      <c:pt idx="270" formatCode="0.00E+00">
                        <c:v>17200</c:v>
                      </c:pt>
                      <c:pt idx="271" formatCode="0.00E+00">
                        <c:v>18020</c:v>
                      </c:pt>
                      <c:pt idx="272" formatCode="0.00E+00">
                        <c:v>18840</c:v>
                      </c:pt>
                      <c:pt idx="273" formatCode="0.00E+00">
                        <c:v>19660</c:v>
                      </c:pt>
                      <c:pt idx="274" formatCode="0.00E+00">
                        <c:v>20480</c:v>
                      </c:pt>
                      <c:pt idx="275" formatCode="0.00E+00">
                        <c:v>21300</c:v>
                      </c:pt>
                      <c:pt idx="276" formatCode="0.00E+00">
                        <c:v>22120</c:v>
                      </c:pt>
                      <c:pt idx="277" formatCode="0.00E+00">
                        <c:v>22940</c:v>
                      </c:pt>
                      <c:pt idx="278" formatCode="0.00E+00">
                        <c:v>23760</c:v>
                      </c:pt>
                      <c:pt idx="279" formatCode="0.00E+00">
                        <c:v>24580</c:v>
                      </c:pt>
                      <c:pt idx="280" formatCode="0.00E+00">
                        <c:v>25400</c:v>
                      </c:pt>
                      <c:pt idx="281" formatCode="0.00E+00">
                        <c:v>26210</c:v>
                      </c:pt>
                      <c:pt idx="282" formatCode="0.00E+00">
                        <c:v>27850</c:v>
                      </c:pt>
                      <c:pt idx="283" formatCode="0.00E+00">
                        <c:v>29490</c:v>
                      </c:pt>
                      <c:pt idx="284" formatCode="0.00E+00">
                        <c:v>31130</c:v>
                      </c:pt>
                      <c:pt idx="285" formatCode="0.00E+00">
                        <c:v>32770</c:v>
                      </c:pt>
                      <c:pt idx="286" formatCode="0.00E+00">
                        <c:v>34410</c:v>
                      </c:pt>
                      <c:pt idx="287" formatCode="0.00E+00">
                        <c:v>36040</c:v>
                      </c:pt>
                      <c:pt idx="288" formatCode="0.00E+00">
                        <c:v>37680</c:v>
                      </c:pt>
                      <c:pt idx="289" formatCode="0.00E+00">
                        <c:v>39320</c:v>
                      </c:pt>
                      <c:pt idx="290" formatCode="0.00E+00">
                        <c:v>40960</c:v>
                      </c:pt>
                      <c:pt idx="291" formatCode="0.00E+00">
                        <c:v>42600</c:v>
                      </c:pt>
                      <c:pt idx="292" formatCode="0.00E+00">
                        <c:v>44240</c:v>
                      </c:pt>
                      <c:pt idx="293" formatCode="0.00E+00">
                        <c:v>45880</c:v>
                      </c:pt>
                      <c:pt idx="294" formatCode="0.00E+00">
                        <c:v>47510</c:v>
                      </c:pt>
                      <c:pt idx="295" formatCode="0.00E+00">
                        <c:v>49150</c:v>
                      </c:pt>
                      <c:pt idx="296" formatCode="0.00E+00">
                        <c:v>50790</c:v>
                      </c:pt>
                      <c:pt idx="297" formatCode="0.00E+00">
                        <c:v>52430</c:v>
                      </c:pt>
                      <c:pt idx="298" formatCode="0.00E+00">
                        <c:v>55710</c:v>
                      </c:pt>
                      <c:pt idx="299" formatCode="0.00E+00">
                        <c:v>58980</c:v>
                      </c:pt>
                      <c:pt idx="300" formatCode="0.00E+00">
                        <c:v>62260</c:v>
                      </c:pt>
                      <c:pt idx="301" formatCode="0.00E+00">
                        <c:v>65540</c:v>
                      </c:pt>
                      <c:pt idx="302" formatCode="0.00E+00">
                        <c:v>68810</c:v>
                      </c:pt>
                      <c:pt idx="303" formatCode="0.00E+00">
                        <c:v>72090</c:v>
                      </c:pt>
                      <c:pt idx="304" formatCode="0.00E+00">
                        <c:v>75370</c:v>
                      </c:pt>
                      <c:pt idx="305" formatCode="0.00E+00">
                        <c:v>78640</c:v>
                      </c:pt>
                      <c:pt idx="306" formatCode="0.00E+00">
                        <c:v>81920</c:v>
                      </c:pt>
                      <c:pt idx="307" formatCode="0.00E+00">
                        <c:v>85200</c:v>
                      </c:pt>
                      <c:pt idx="308" formatCode="0.00E+00">
                        <c:v>88470</c:v>
                      </c:pt>
                      <c:pt idx="309" formatCode="0.00E+00">
                        <c:v>91750</c:v>
                      </c:pt>
                      <c:pt idx="310" formatCode="0.00E+00">
                        <c:v>95030</c:v>
                      </c:pt>
                      <c:pt idx="311" formatCode="0.00E+00">
                        <c:v>98300</c:v>
                      </c:pt>
                      <c:pt idx="312" formatCode="0.00E+00">
                        <c:v>101600</c:v>
                      </c:pt>
                      <c:pt idx="313" formatCode="0.00E+00">
                        <c:v>104900</c:v>
                      </c:pt>
                      <c:pt idx="314" formatCode="0.00E+00">
                        <c:v>111400</c:v>
                      </c:pt>
                      <c:pt idx="315" formatCode="0.00E+00">
                        <c:v>118000</c:v>
                      </c:pt>
                      <c:pt idx="316" formatCode="0.00E+00">
                        <c:v>124500</c:v>
                      </c:pt>
                      <c:pt idx="317" formatCode="0.00E+00">
                        <c:v>131100</c:v>
                      </c:pt>
                      <c:pt idx="318" formatCode="0.00E+00">
                        <c:v>137600</c:v>
                      </c:pt>
                      <c:pt idx="319" formatCode="0.00E+00">
                        <c:v>144200</c:v>
                      </c:pt>
                      <c:pt idx="320" formatCode="0.00E+00">
                        <c:v>150700</c:v>
                      </c:pt>
                      <c:pt idx="321" formatCode="0.00E+00">
                        <c:v>157300</c:v>
                      </c:pt>
                      <c:pt idx="322" formatCode="0.00E+00">
                        <c:v>163800</c:v>
                      </c:pt>
                      <c:pt idx="323" formatCode="0.00E+00">
                        <c:v>170400</c:v>
                      </c:pt>
                      <c:pt idx="324" formatCode="0.00E+00">
                        <c:v>176900</c:v>
                      </c:pt>
                      <c:pt idx="325" formatCode="0.00E+00">
                        <c:v>183500</c:v>
                      </c:pt>
                      <c:pt idx="326" formatCode="0.00E+00">
                        <c:v>190100</c:v>
                      </c:pt>
                      <c:pt idx="327" formatCode="0.00E+00">
                        <c:v>196600</c:v>
                      </c:pt>
                      <c:pt idx="328" formatCode="0.00E+00">
                        <c:v>203200</c:v>
                      </c:pt>
                      <c:pt idx="329" formatCode="0.00E+00">
                        <c:v>209700</c:v>
                      </c:pt>
                      <c:pt idx="330" formatCode="0.00E+00">
                        <c:v>222800</c:v>
                      </c:pt>
                      <c:pt idx="331" formatCode="0.00E+00">
                        <c:v>235900</c:v>
                      </c:pt>
                      <c:pt idx="332" formatCode="0.00E+00">
                        <c:v>249000</c:v>
                      </c:pt>
                      <c:pt idx="333" formatCode="0.00E+00">
                        <c:v>262100</c:v>
                      </c:pt>
                      <c:pt idx="334" formatCode="0.00E+00">
                        <c:v>275300</c:v>
                      </c:pt>
                      <c:pt idx="335" formatCode="0.00E+00">
                        <c:v>288400</c:v>
                      </c:pt>
                      <c:pt idx="336" formatCode="0.00E+00">
                        <c:v>301500</c:v>
                      </c:pt>
                      <c:pt idx="337" formatCode="0.00E+00">
                        <c:v>314600</c:v>
                      </c:pt>
                      <c:pt idx="338" formatCode="0.00E+00">
                        <c:v>327700</c:v>
                      </c:pt>
                      <c:pt idx="339" formatCode="0.00E+00">
                        <c:v>340800</c:v>
                      </c:pt>
                      <c:pt idx="340" formatCode="0.00E+00">
                        <c:v>353900</c:v>
                      </c:pt>
                      <c:pt idx="341" formatCode="0.00E+00">
                        <c:v>367000</c:v>
                      </c:pt>
                      <c:pt idx="342" formatCode="0.00E+00">
                        <c:v>380100</c:v>
                      </c:pt>
                      <c:pt idx="343" formatCode="0.00E+00">
                        <c:v>393200</c:v>
                      </c:pt>
                      <c:pt idx="344" formatCode="0.00E+00">
                        <c:v>406300</c:v>
                      </c:pt>
                      <c:pt idx="345" formatCode="0.00E+00">
                        <c:v>419400</c:v>
                      </c:pt>
                      <c:pt idx="346" formatCode="0.00E+00">
                        <c:v>445600</c:v>
                      </c:pt>
                      <c:pt idx="347" formatCode="0.00E+00">
                        <c:v>471900</c:v>
                      </c:pt>
                      <c:pt idx="348" formatCode="0.00E+00">
                        <c:v>498100</c:v>
                      </c:pt>
                      <c:pt idx="349" formatCode="0.00E+00">
                        <c:v>524300</c:v>
                      </c:pt>
                      <c:pt idx="350" formatCode="0.00E+00">
                        <c:v>550500</c:v>
                      </c:pt>
                      <c:pt idx="351" formatCode="0.00E+00">
                        <c:v>576700</c:v>
                      </c:pt>
                      <c:pt idx="352" formatCode="0.00E+00">
                        <c:v>602900</c:v>
                      </c:pt>
                      <c:pt idx="353" formatCode="0.00E+00">
                        <c:v>629100</c:v>
                      </c:pt>
                      <c:pt idx="354" formatCode="0.00E+00">
                        <c:v>655400</c:v>
                      </c:pt>
                      <c:pt idx="355" formatCode="0.00E+00">
                        <c:v>681600</c:v>
                      </c:pt>
                      <c:pt idx="356" formatCode="0.00E+00">
                        <c:v>707800</c:v>
                      </c:pt>
                      <c:pt idx="357" formatCode="0.00E+00">
                        <c:v>734000</c:v>
                      </c:pt>
                      <c:pt idx="358" formatCode="0.00E+00">
                        <c:v>760200</c:v>
                      </c:pt>
                      <c:pt idx="359" formatCode="0.00E+00">
                        <c:v>786400</c:v>
                      </c:pt>
                      <c:pt idx="360" formatCode="0.00E+00">
                        <c:v>812600</c:v>
                      </c:pt>
                      <c:pt idx="361" formatCode="0.00E+00">
                        <c:v>838900</c:v>
                      </c:pt>
                      <c:pt idx="362" formatCode="0.00E+00">
                        <c:v>891300</c:v>
                      </c:pt>
                      <c:pt idx="363" formatCode="0.00E+00">
                        <c:v>943700</c:v>
                      </c:pt>
                      <c:pt idx="364" formatCode="0.00E+00">
                        <c:v>996100</c:v>
                      </c:pt>
                      <c:pt idx="365" formatCode="0.00E+00">
                        <c:v>1049000</c:v>
                      </c:pt>
                      <c:pt idx="366" formatCode="0.00E+00">
                        <c:v>1101000</c:v>
                      </c:pt>
                      <c:pt idx="367" formatCode="0.00E+00">
                        <c:v>1153000</c:v>
                      </c:pt>
                      <c:pt idx="368" formatCode="0.00E+00">
                        <c:v>1206000</c:v>
                      </c:pt>
                      <c:pt idx="369" formatCode="0.00E+00">
                        <c:v>1258000</c:v>
                      </c:pt>
                      <c:pt idx="370" formatCode="0.00E+00">
                        <c:v>1311000</c:v>
                      </c:pt>
                      <c:pt idx="371" formatCode="0.00E+00">
                        <c:v>1363000</c:v>
                      </c:pt>
                      <c:pt idx="372" formatCode="0.00E+00">
                        <c:v>1416000</c:v>
                      </c:pt>
                      <c:pt idx="373" formatCode="0.00E+00">
                        <c:v>1468000</c:v>
                      </c:pt>
                      <c:pt idx="374" formatCode="0.00E+00">
                        <c:v>1520000</c:v>
                      </c:pt>
                      <c:pt idx="375" formatCode="0.00E+00">
                        <c:v>1573000</c:v>
                      </c:pt>
                      <c:pt idx="376" formatCode="0.00E+00">
                        <c:v>1625000</c:v>
                      </c:pt>
                      <c:pt idx="377" formatCode="0.00E+00">
                        <c:v>1678000</c:v>
                      </c:pt>
                      <c:pt idx="378" formatCode="0.00E+00">
                        <c:v>1783000</c:v>
                      </c:pt>
                      <c:pt idx="379" formatCode="0.00E+00">
                        <c:v>1887000</c:v>
                      </c:pt>
                      <c:pt idx="380" formatCode="0.00E+00">
                        <c:v>1992000</c:v>
                      </c:pt>
                      <c:pt idx="381" formatCode="0.00E+00">
                        <c:v>2097000</c:v>
                      </c:pt>
                      <c:pt idx="382" formatCode="0.00E+00">
                        <c:v>2202000</c:v>
                      </c:pt>
                      <c:pt idx="383" formatCode="0.00E+00">
                        <c:v>2307000</c:v>
                      </c:pt>
                      <c:pt idx="384" formatCode="0.00E+00">
                        <c:v>2412000</c:v>
                      </c:pt>
                      <c:pt idx="385" formatCode="0.00E+00">
                        <c:v>2517000</c:v>
                      </c:pt>
                      <c:pt idx="386" formatCode="0.00E+00">
                        <c:v>2621000</c:v>
                      </c:pt>
                      <c:pt idx="387" formatCode="0.00E+00">
                        <c:v>2726000</c:v>
                      </c:pt>
                      <c:pt idx="388" formatCode="0.00E+00">
                        <c:v>2831000</c:v>
                      </c:pt>
                      <c:pt idx="389" formatCode="0.00E+00">
                        <c:v>2936000</c:v>
                      </c:pt>
                      <c:pt idx="390" formatCode="0.00E+00">
                        <c:v>3041000</c:v>
                      </c:pt>
                      <c:pt idx="391" formatCode="0.00E+00">
                        <c:v>3146000</c:v>
                      </c:pt>
                      <c:pt idx="392" formatCode="0.00E+00">
                        <c:v>3251000</c:v>
                      </c:pt>
                      <c:pt idx="393" formatCode="0.00E+00">
                        <c:v>3355000</c:v>
                      </c:pt>
                      <c:pt idx="394" formatCode="0.00E+00">
                        <c:v>3565000</c:v>
                      </c:pt>
                      <c:pt idx="395" formatCode="0.00E+00">
                        <c:v>3775000</c:v>
                      </c:pt>
                      <c:pt idx="396" formatCode="0.00E+00">
                        <c:v>3985000</c:v>
                      </c:pt>
                      <c:pt idx="397" formatCode="0.00E+00">
                        <c:v>4194000</c:v>
                      </c:pt>
                      <c:pt idx="398" formatCode="0.00E+00">
                        <c:v>4404000</c:v>
                      </c:pt>
                      <c:pt idx="399" formatCode="0.00E+00">
                        <c:v>4614000</c:v>
                      </c:pt>
                      <c:pt idx="400" formatCode="0.00E+00">
                        <c:v>4823000</c:v>
                      </c:pt>
                      <c:pt idx="401" formatCode="0.00E+00">
                        <c:v>5033000</c:v>
                      </c:pt>
                      <c:pt idx="402" formatCode="0.00E+00">
                        <c:v>5243000</c:v>
                      </c:pt>
                      <c:pt idx="403" formatCode="0.00E+00">
                        <c:v>5453000</c:v>
                      </c:pt>
                      <c:pt idx="404" formatCode="0.00E+00">
                        <c:v>5662000</c:v>
                      </c:pt>
                      <c:pt idx="405" formatCode="0.00E+00">
                        <c:v>5872000</c:v>
                      </c:pt>
                      <c:pt idx="406" formatCode="0.00E+00">
                        <c:v>6082000</c:v>
                      </c:pt>
                      <c:pt idx="407" formatCode="0.00E+00">
                        <c:v>6291000</c:v>
                      </c:pt>
                      <c:pt idx="408" formatCode="0.00E+00">
                        <c:v>6501000</c:v>
                      </c:pt>
                      <c:pt idx="409" formatCode="0.00E+00">
                        <c:v>6711000</c:v>
                      </c:pt>
                      <c:pt idx="410" formatCode="0.00E+00">
                        <c:v>7130000</c:v>
                      </c:pt>
                      <c:pt idx="411" formatCode="0.00E+00">
                        <c:v>7550000</c:v>
                      </c:pt>
                      <c:pt idx="412" formatCode="0.00E+00">
                        <c:v>7969000</c:v>
                      </c:pt>
                      <c:pt idx="413" formatCode="0.00E+00">
                        <c:v>8389000</c:v>
                      </c:pt>
                      <c:pt idx="414" formatCode="0.00E+00">
                        <c:v>8808000</c:v>
                      </c:pt>
                      <c:pt idx="415" formatCode="0.00E+00">
                        <c:v>9227000</c:v>
                      </c:pt>
                      <c:pt idx="416" formatCode="0.00E+00">
                        <c:v>9647000</c:v>
                      </c:pt>
                      <c:pt idx="417" formatCode="0.00E+00">
                        <c:v>10070000</c:v>
                      </c:pt>
                      <c:pt idx="418" formatCode="0.00E+00">
                        <c:v>10490000</c:v>
                      </c:pt>
                      <c:pt idx="419" formatCode="0.00E+00">
                        <c:v>10910000</c:v>
                      </c:pt>
                      <c:pt idx="420" formatCode="0.00E+00">
                        <c:v>11320000</c:v>
                      </c:pt>
                      <c:pt idx="421" formatCode="0.00E+00">
                        <c:v>11740000</c:v>
                      </c:pt>
                      <c:pt idx="422" formatCode="0.00E+00">
                        <c:v>12160000</c:v>
                      </c:pt>
                      <c:pt idx="423" formatCode="0.00E+00">
                        <c:v>12580000</c:v>
                      </c:pt>
                      <c:pt idx="424" formatCode="0.00E+00">
                        <c:v>13000000</c:v>
                      </c:pt>
                      <c:pt idx="425" formatCode="0.00E+00">
                        <c:v>13420000</c:v>
                      </c:pt>
                      <c:pt idx="426" formatCode="0.00E+00">
                        <c:v>14260000</c:v>
                      </c:pt>
                      <c:pt idx="427" formatCode="0.00E+00">
                        <c:v>15100000</c:v>
                      </c:pt>
                      <c:pt idx="428" formatCode="0.00E+00">
                        <c:v>15940000</c:v>
                      </c:pt>
                      <c:pt idx="429" formatCode="0.00E+00">
                        <c:v>16780000</c:v>
                      </c:pt>
                      <c:pt idx="430" formatCode="0.00E+00">
                        <c:v>17620000</c:v>
                      </c:pt>
                      <c:pt idx="431" formatCode="0.00E+00">
                        <c:v>18450000</c:v>
                      </c:pt>
                      <c:pt idx="432" formatCode="0.00E+00">
                        <c:v>19290000</c:v>
                      </c:pt>
                      <c:pt idx="433" formatCode="0.00E+00">
                        <c:v>20130000</c:v>
                      </c:pt>
                      <c:pt idx="434" formatCode="0.00E+00">
                        <c:v>20970000</c:v>
                      </c:pt>
                      <c:pt idx="435" formatCode="0.00E+00">
                        <c:v>21810000</c:v>
                      </c:pt>
                      <c:pt idx="436" formatCode="0.00E+00">
                        <c:v>22650000</c:v>
                      </c:pt>
                      <c:pt idx="437" formatCode="0.00E+00">
                        <c:v>23490000</c:v>
                      </c:pt>
                      <c:pt idx="438" formatCode="0.00E+00">
                        <c:v>24330000</c:v>
                      </c:pt>
                      <c:pt idx="439" formatCode="0.00E+00">
                        <c:v>25170000</c:v>
                      </c:pt>
                      <c:pt idx="440" formatCode="0.00E+00">
                        <c:v>26000000</c:v>
                      </c:pt>
                      <c:pt idx="441" formatCode="0.00E+00">
                        <c:v>26840000</c:v>
                      </c:pt>
                      <c:pt idx="442" formatCode="0.00E+00">
                        <c:v>28520000</c:v>
                      </c:pt>
                      <c:pt idx="443" formatCode="0.00E+00">
                        <c:v>30200000</c:v>
                      </c:pt>
                      <c:pt idx="444" formatCode="0.00E+00">
                        <c:v>31880000</c:v>
                      </c:pt>
                      <c:pt idx="445" formatCode="0.00E+00">
                        <c:v>33550000</c:v>
                      </c:pt>
                      <c:pt idx="446" formatCode="0.00E+00">
                        <c:v>35230000</c:v>
                      </c:pt>
                      <c:pt idx="447" formatCode="0.00E+00">
                        <c:v>36910000</c:v>
                      </c:pt>
                      <c:pt idx="448" formatCode="0.00E+00">
                        <c:v>38590000</c:v>
                      </c:pt>
                      <c:pt idx="449" formatCode="0.00E+00">
                        <c:v>40270000</c:v>
                      </c:pt>
                      <c:pt idx="450" formatCode="0.00E+00">
                        <c:v>41940000</c:v>
                      </c:pt>
                      <c:pt idx="451" formatCode="0.00E+00">
                        <c:v>43620000</c:v>
                      </c:pt>
                      <c:pt idx="452" formatCode="0.00E+00">
                        <c:v>45300000</c:v>
                      </c:pt>
                      <c:pt idx="453" formatCode="0.00E+00">
                        <c:v>46980000</c:v>
                      </c:pt>
                      <c:pt idx="454" formatCode="0.00E+00">
                        <c:v>48650000</c:v>
                      </c:pt>
                      <c:pt idx="455" formatCode="0.00E+00">
                        <c:v>50330000</c:v>
                      </c:pt>
                      <c:pt idx="456" formatCode="0.00E+00">
                        <c:v>52010000</c:v>
                      </c:pt>
                      <c:pt idx="457" formatCode="0.00E+00">
                        <c:v>53690000</c:v>
                      </c:pt>
                      <c:pt idx="458" formatCode="0.00E+00">
                        <c:v>57040000</c:v>
                      </c:pt>
                      <c:pt idx="459" formatCode="0.00E+00">
                        <c:v>60400000</c:v>
                      </c:pt>
                      <c:pt idx="460" formatCode="0.00E+00">
                        <c:v>63750000</c:v>
                      </c:pt>
                      <c:pt idx="461" formatCode="0.00E+00">
                        <c:v>67110000</c:v>
                      </c:pt>
                      <c:pt idx="462" formatCode="0.00E+00">
                        <c:v>70460000</c:v>
                      </c:pt>
                      <c:pt idx="463" formatCode="0.00E+00">
                        <c:v>73820000</c:v>
                      </c:pt>
                      <c:pt idx="464" formatCode="0.00E+00">
                        <c:v>77180000</c:v>
                      </c:pt>
                      <c:pt idx="465" formatCode="0.00E+00">
                        <c:v>80530000</c:v>
                      </c:pt>
                      <c:pt idx="466" formatCode="0.00E+00">
                        <c:v>83890000</c:v>
                      </c:pt>
                      <c:pt idx="467" formatCode="0.00E+00">
                        <c:v>87240000</c:v>
                      </c:pt>
                      <c:pt idx="468" formatCode="0.00E+00">
                        <c:v>90600000</c:v>
                      </c:pt>
                      <c:pt idx="469" formatCode="0.00E+00">
                        <c:v>93950000</c:v>
                      </c:pt>
                      <c:pt idx="470" formatCode="0.00E+00">
                        <c:v>97310000</c:v>
                      </c:pt>
                      <c:pt idx="471" formatCode="0.00E+00">
                        <c:v>100700000</c:v>
                      </c:pt>
                      <c:pt idx="472" formatCode="0.00E+00">
                        <c:v>104000000</c:v>
                      </c:pt>
                      <c:pt idx="473" formatCode="0.00E+00">
                        <c:v>107400000</c:v>
                      </c:pt>
                      <c:pt idx="474" formatCode="0.00E+00">
                        <c:v>114100000</c:v>
                      </c:pt>
                      <c:pt idx="475" formatCode="0.00E+00">
                        <c:v>120800000</c:v>
                      </c:pt>
                      <c:pt idx="476" formatCode="0.00E+00">
                        <c:v>127500000</c:v>
                      </c:pt>
                      <c:pt idx="477" formatCode="0.00E+00">
                        <c:v>134200000</c:v>
                      </c:pt>
                      <c:pt idx="478" formatCode="0.00E+00">
                        <c:v>140900000</c:v>
                      </c:pt>
                      <c:pt idx="479" formatCode="0.00E+00">
                        <c:v>147600000</c:v>
                      </c:pt>
                      <c:pt idx="480" formatCode="0.00E+00">
                        <c:v>154400000</c:v>
                      </c:pt>
                      <c:pt idx="481" formatCode="0.00E+00">
                        <c:v>161100000</c:v>
                      </c:pt>
                      <c:pt idx="482" formatCode="0.00E+00">
                        <c:v>167800000</c:v>
                      </c:pt>
                      <c:pt idx="483" formatCode="0.00E+00">
                        <c:v>174500000</c:v>
                      </c:pt>
                      <c:pt idx="484" formatCode="0.00E+00">
                        <c:v>181200000</c:v>
                      </c:pt>
                      <c:pt idx="485" formatCode="0.00E+00">
                        <c:v>187900000</c:v>
                      </c:pt>
                      <c:pt idx="486" formatCode="0.00E+00">
                        <c:v>194600000</c:v>
                      </c:pt>
                      <c:pt idx="487" formatCode="0.00E+00">
                        <c:v>201300000</c:v>
                      </c:pt>
                      <c:pt idx="488" formatCode="0.00E+00">
                        <c:v>208000000</c:v>
                      </c:pt>
                      <c:pt idx="489" formatCode="0.00E+00">
                        <c:v>214700000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autocorrelation!$F$2:$F$491</c15:sqref>
                        </c15:formulaRef>
                      </c:ext>
                    </c:extLst>
                    <c:numCache>
                      <c:formatCode>General</c:formatCode>
                      <c:ptCount val="49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93F-43FE-87DB-D9EE721046D1}"/>
                  </c:ext>
                </c:extLst>
              </c15:ser>
            </c15:filteredScatterSeries>
          </c:ext>
        </c:extLst>
      </c:scatterChart>
      <c:valAx>
        <c:axId val="2002851823"/>
        <c:scaling>
          <c:logBase val="10"/>
          <c:orientation val="minMax"/>
          <c:max val="10000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0"/>
      </c:valAx>
      <c:valAx>
        <c:axId val="2002847023"/>
        <c:scaling>
          <c:orientation val="minMax"/>
          <c:max val="0.60000000000000009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679369</xdr:colOff>
      <xdr:row>14</xdr:row>
      <xdr:rowOff>458</xdr:rowOff>
    </xdr:from>
    <xdr:to>
      <xdr:col>17</xdr:col>
      <xdr:colOff>739588</xdr:colOff>
      <xdr:row>41</xdr:row>
      <xdr:rowOff>44822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08827C-C9E2-B118-F683-7A0F51FE7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</xdr:colOff>
      <xdr:row>8</xdr:row>
      <xdr:rowOff>93662</xdr:rowOff>
    </xdr:from>
    <xdr:to>
      <xdr:col>15</xdr:col>
      <xdr:colOff>761999</xdr:colOff>
      <xdr:row>27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BF1FBD2-03B1-3E99-41D7-918D42042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13</xdr:row>
      <xdr:rowOff>65087</xdr:rowOff>
    </xdr:from>
    <xdr:to>
      <xdr:col>17</xdr:col>
      <xdr:colOff>371474</xdr:colOff>
      <xdr:row>34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D9E4E40-3885-8A02-9F5C-BC073DA23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10</xdr:row>
      <xdr:rowOff>57149</xdr:rowOff>
    </xdr:from>
    <xdr:to>
      <xdr:col>15</xdr:col>
      <xdr:colOff>682625</xdr:colOff>
      <xdr:row>26</xdr:row>
      <xdr:rowOff>152398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772A1F-BE86-F006-E3EB-A67E78EAD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816-F23A-4CED-856F-2072F74F3D67}">
  <dimension ref="A1:L71"/>
  <sheetViews>
    <sheetView topLeftCell="V1" zoomScale="85" zoomScaleNormal="85" workbookViewId="0">
      <selection activeCell="AJ1" sqref="AJ1:AQ1048576"/>
    </sheetView>
  </sheetViews>
  <sheetFormatPr baseColWidth="10" defaultRowHeight="14.5" x14ac:dyDescent="0.35"/>
  <cols>
    <col min="1" max="1" width="16.36328125" customWidth="1"/>
    <col min="2" max="5" width="11" bestFit="1" customWidth="1"/>
    <col min="6" max="6" width="15" bestFit="1" customWidth="1"/>
    <col min="7" max="7" width="15.7265625" customWidth="1"/>
    <col min="12" max="12" width="11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23</v>
      </c>
      <c r="I1" t="s">
        <v>24</v>
      </c>
      <c r="K1" s="3" t="s">
        <v>21</v>
      </c>
    </row>
    <row r="2" spans="1:12" x14ac:dyDescent="0.3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0.24000799206810947</v>
      </c>
      <c r="H2">
        <f>(E2-F2)^2</f>
        <v>5.7603836256565698E-2</v>
      </c>
      <c r="K2" s="2" t="s">
        <v>19</v>
      </c>
      <c r="L2">
        <v>8.9175975406519026</v>
      </c>
    </row>
    <row r="3" spans="1:12" x14ac:dyDescent="0.35">
      <c r="A3">
        <v>0.34889999999999999</v>
      </c>
      <c r="B3">
        <v>0</v>
      </c>
      <c r="C3">
        <v>0</v>
      </c>
      <c r="D3">
        <v>0</v>
      </c>
      <c r="E3">
        <f>AVERAGE(B3:D3)</f>
        <v>0</v>
      </c>
      <c r="F3">
        <f>$L$2*EXP(-((E3-$L$3)^2)/(2*$L$4^2))</f>
        <v>0.24000799206810947</v>
      </c>
      <c r="H3">
        <f>(E3-F3)^2</f>
        <v>5.7603836256565698E-2</v>
      </c>
      <c r="K3" s="2" t="s">
        <v>17</v>
      </c>
      <c r="L3">
        <v>8.5068158701083902</v>
      </c>
    </row>
    <row r="4" spans="1:12" x14ac:dyDescent="0.35">
      <c r="A4">
        <v>0.40570000000000001</v>
      </c>
      <c r="B4">
        <v>0</v>
      </c>
      <c r="C4">
        <v>0</v>
      </c>
      <c r="D4">
        <v>0</v>
      </c>
      <c r="E4">
        <f>AVERAGE(B4:D4)</f>
        <v>0</v>
      </c>
      <c r="F4">
        <f>$L$2*EXP(-((E4-$L$3)^2)/(2*$L$4^2))</f>
        <v>0.24000799206810947</v>
      </c>
      <c r="H4">
        <f>(E4-F4)^2</f>
        <v>5.7603836256565698E-2</v>
      </c>
      <c r="K4" s="2" t="s">
        <v>20</v>
      </c>
      <c r="L4">
        <v>3.1636708914074934</v>
      </c>
    </row>
    <row r="5" spans="1:12" x14ac:dyDescent="0.35">
      <c r="A5">
        <v>0.4718</v>
      </c>
      <c r="B5">
        <v>0</v>
      </c>
      <c r="C5">
        <v>0</v>
      </c>
      <c r="D5">
        <v>0</v>
      </c>
      <c r="E5">
        <f>AVERAGE(B5:D5)</f>
        <v>0</v>
      </c>
      <c r="F5">
        <f>$L$2*EXP(-((E5-$L$3)^2)/(2*$L$4^2))</f>
        <v>0.24000799206810947</v>
      </c>
      <c r="H5">
        <f>(E5-F5)^2</f>
        <v>5.7603836256565698E-2</v>
      </c>
      <c r="K5" s="2" t="s">
        <v>25</v>
      </c>
      <c r="L5">
        <f>SUM(H2:H35)</f>
        <v>4.0434728414200247</v>
      </c>
    </row>
    <row r="6" spans="1:12" x14ac:dyDescent="0.35">
      <c r="A6">
        <v>0.54869999999999997</v>
      </c>
      <c r="B6">
        <v>0</v>
      </c>
      <c r="C6">
        <v>0</v>
      </c>
      <c r="D6">
        <v>0</v>
      </c>
      <c r="E6">
        <f>AVERAGE(B6:D6)</f>
        <v>0</v>
      </c>
      <c r="F6">
        <f>$L$2*EXP(-((E6-$L$3)^2)/(2*$L$4^2))</f>
        <v>0.24000799206810947</v>
      </c>
      <c r="H6">
        <f>(E6-F6)^2</f>
        <v>5.7603836256565698E-2</v>
      </c>
    </row>
    <row r="7" spans="1:12" x14ac:dyDescent="0.35">
      <c r="A7">
        <v>0.6381</v>
      </c>
      <c r="B7">
        <v>0</v>
      </c>
      <c r="C7">
        <v>0</v>
      </c>
      <c r="D7">
        <v>0</v>
      </c>
      <c r="E7">
        <f>AVERAGE(B7:D7)</f>
        <v>0</v>
      </c>
      <c r="F7">
        <f>$L$2*EXP(-((E7-$L$3)^2)/(2*$L$4^2))</f>
        <v>0.24000799206810947</v>
      </c>
      <c r="H7">
        <f>(E7-F7)^2</f>
        <v>5.7603836256565698E-2</v>
      </c>
      <c r="K7" s="3" t="s">
        <v>22</v>
      </c>
    </row>
    <row r="8" spans="1:12" x14ac:dyDescent="0.35">
      <c r="A8">
        <v>0.74199999999999999</v>
      </c>
      <c r="B8">
        <v>0</v>
      </c>
      <c r="C8">
        <v>0</v>
      </c>
      <c r="D8">
        <v>0</v>
      </c>
      <c r="E8">
        <f>AVERAGE(B8:D8)</f>
        <v>0</v>
      </c>
      <c r="F8">
        <f>$L$2*EXP(-((E8-$L$3)^2)/(2*$L$4^2))</f>
        <v>0.24000799206810947</v>
      </c>
      <c r="H8">
        <f>(E8-F8)^2</f>
        <v>5.7603836256565698E-2</v>
      </c>
      <c r="K8" s="2" t="s">
        <v>19</v>
      </c>
      <c r="L8">
        <v>9.5258112818585907</v>
      </c>
    </row>
    <row r="9" spans="1:12" x14ac:dyDescent="0.35">
      <c r="A9">
        <v>0.8629</v>
      </c>
      <c r="B9">
        <v>0</v>
      </c>
      <c r="C9">
        <v>0</v>
      </c>
      <c r="D9">
        <v>0</v>
      </c>
      <c r="E9">
        <f>AVERAGE(B9:D9)</f>
        <v>0</v>
      </c>
      <c r="F9">
        <f>$L$2*EXP(-((E9-$L$3)^2)/(2*$L$4^2))</f>
        <v>0.24000799206810947</v>
      </c>
      <c r="H9">
        <f>(E9-F9)^2</f>
        <v>5.7603836256565698E-2</v>
      </c>
      <c r="K9" s="2" t="s">
        <v>17</v>
      </c>
      <c r="L9">
        <v>9.5776468980015412</v>
      </c>
    </row>
    <row r="10" spans="1:12" x14ac:dyDescent="0.35">
      <c r="A10">
        <v>1.0029999999999999</v>
      </c>
      <c r="B10">
        <v>0</v>
      </c>
      <c r="C10">
        <v>0</v>
      </c>
      <c r="D10">
        <v>0</v>
      </c>
      <c r="E10">
        <f>AVERAGE(B10:D10)</f>
        <v>0</v>
      </c>
      <c r="F10">
        <f>$L$2*EXP(-((E10-$L$3)^2)/(2*$L$4^2))</f>
        <v>0.24000799206810947</v>
      </c>
      <c r="H10">
        <f>(E10-F10)^2</f>
        <v>5.7603836256565698E-2</v>
      </c>
      <c r="K10" s="2" t="s">
        <v>20</v>
      </c>
      <c r="L10">
        <v>3.5979199694193316</v>
      </c>
    </row>
    <row r="11" spans="1:12" x14ac:dyDescent="0.35">
      <c r="A11">
        <v>1.167</v>
      </c>
      <c r="B11">
        <v>0</v>
      </c>
      <c r="C11">
        <v>0</v>
      </c>
      <c r="D11">
        <v>0</v>
      </c>
      <c r="E11">
        <f>AVERAGE(B11:D11)</f>
        <v>0</v>
      </c>
      <c r="F11">
        <f>$L$2*EXP(-((E11-$L$3)^2)/(2*$L$4^2))</f>
        <v>0.24000799206810947</v>
      </c>
      <c r="H11">
        <f>(E11-F11)^2</f>
        <v>5.7603836256565698E-2</v>
      </c>
      <c r="K11" s="2" t="s">
        <v>25</v>
      </c>
      <c r="L11">
        <f>SUM(I36:I71)</f>
        <v>5.3634430982377381</v>
      </c>
    </row>
    <row r="12" spans="1:12" x14ac:dyDescent="0.35">
      <c r="A12">
        <v>1.357</v>
      </c>
      <c r="B12">
        <v>0</v>
      </c>
      <c r="C12">
        <v>0</v>
      </c>
      <c r="D12">
        <v>0</v>
      </c>
      <c r="E12">
        <f>AVERAGE(B12:D12)</f>
        <v>0</v>
      </c>
      <c r="F12">
        <f>$L$2*EXP(-((E12-$L$3)^2)/(2*$L$4^2))</f>
        <v>0.24000799206810947</v>
      </c>
      <c r="H12">
        <f>(E12-F12)^2</f>
        <v>5.7603836256565698E-2</v>
      </c>
    </row>
    <row r="13" spans="1:12" x14ac:dyDescent="0.35">
      <c r="A13">
        <v>1.5780000000000001</v>
      </c>
      <c r="B13">
        <v>0</v>
      </c>
      <c r="C13">
        <v>0</v>
      </c>
      <c r="D13">
        <v>0</v>
      </c>
      <c r="E13">
        <f>AVERAGE(B13:D13)</f>
        <v>0</v>
      </c>
      <c r="F13">
        <f>$L$2*EXP(-((E13-$L$3)^2)/(2*$L$4^2))</f>
        <v>0.24000799206810947</v>
      </c>
      <c r="H13">
        <f>(E13-F13)^2</f>
        <v>5.7603836256565698E-2</v>
      </c>
    </row>
    <row r="14" spans="1:12" x14ac:dyDescent="0.35">
      <c r="A14">
        <v>1.835</v>
      </c>
      <c r="B14">
        <v>0</v>
      </c>
      <c r="C14">
        <v>0</v>
      </c>
      <c r="D14">
        <v>0</v>
      </c>
      <c r="E14">
        <f>AVERAGE(B14:D14)</f>
        <v>0</v>
      </c>
      <c r="F14">
        <f>$L$2*EXP(-((E14-$L$3)^2)/(2*$L$4^2))</f>
        <v>0.24000799206810947</v>
      </c>
      <c r="H14">
        <f>(E14-F14)^2</f>
        <v>5.7603836256565698E-2</v>
      </c>
    </row>
    <row r="15" spans="1:12" x14ac:dyDescent="0.35">
      <c r="A15">
        <v>2.1339999999999999</v>
      </c>
      <c r="B15">
        <v>0</v>
      </c>
      <c r="C15">
        <v>0</v>
      </c>
      <c r="D15">
        <v>0</v>
      </c>
      <c r="E15">
        <f>AVERAGE(B15:D15)</f>
        <v>0</v>
      </c>
      <c r="F15">
        <f>$L$2*EXP(-((E15-$L$3)^2)/(2*$L$4^2))</f>
        <v>0.24000799206810947</v>
      </c>
      <c r="H15">
        <f>(E15-F15)^2</f>
        <v>5.7603836256565698E-2</v>
      </c>
    </row>
    <row r="16" spans="1:12" x14ac:dyDescent="0.35">
      <c r="A16">
        <v>2.4820000000000002</v>
      </c>
      <c r="B16">
        <v>0</v>
      </c>
      <c r="C16">
        <v>0</v>
      </c>
      <c r="D16">
        <v>0</v>
      </c>
      <c r="E16">
        <f>AVERAGE(B16:D16)</f>
        <v>0</v>
      </c>
      <c r="F16">
        <f>$L$2*EXP(-((E16-$L$3)^2)/(2*$L$4^2))</f>
        <v>0.24000799206810947</v>
      </c>
      <c r="H16">
        <f>(E16-F16)^2</f>
        <v>5.7603836256565698E-2</v>
      </c>
    </row>
    <row r="17" spans="1:8" x14ac:dyDescent="0.35">
      <c r="A17">
        <v>2.8860000000000001</v>
      </c>
      <c r="B17">
        <v>0</v>
      </c>
      <c r="C17">
        <v>0</v>
      </c>
      <c r="D17">
        <v>0</v>
      </c>
      <c r="E17">
        <f>AVERAGE(B17:D17)</f>
        <v>0</v>
      </c>
      <c r="F17">
        <f>$L$2*EXP(-((E17-$L$3)^2)/(2*$L$4^2))</f>
        <v>0.24000799206810947</v>
      </c>
      <c r="H17">
        <f>(E17-F17)^2</f>
        <v>5.7603836256565698E-2</v>
      </c>
    </row>
    <row r="18" spans="1:8" x14ac:dyDescent="0.35">
      <c r="A18">
        <v>3.3570000000000002</v>
      </c>
      <c r="B18">
        <v>0</v>
      </c>
      <c r="C18">
        <v>0</v>
      </c>
      <c r="D18">
        <v>0</v>
      </c>
      <c r="E18">
        <f>AVERAGE(B18:D18)</f>
        <v>0</v>
      </c>
      <c r="F18">
        <f>$L$2*EXP(-((E18-$L$3)^2)/(2*$L$4^2))</f>
        <v>0.24000799206810947</v>
      </c>
      <c r="H18">
        <f>(E18-F18)^2</f>
        <v>5.7603836256565698E-2</v>
      </c>
    </row>
    <row r="19" spans="1:8" x14ac:dyDescent="0.35">
      <c r="A19">
        <v>3.903</v>
      </c>
      <c r="B19">
        <v>0</v>
      </c>
      <c r="C19">
        <v>0</v>
      </c>
      <c r="D19">
        <v>0</v>
      </c>
      <c r="E19">
        <f>AVERAGE(B19:D19)</f>
        <v>0</v>
      </c>
      <c r="F19">
        <f>$L$2*EXP(-((E19-$L$3)^2)/(2*$L$4^2))</f>
        <v>0.24000799206810947</v>
      </c>
      <c r="H19">
        <f>(E19-F19)^2</f>
        <v>5.7603836256565698E-2</v>
      </c>
    </row>
    <row r="20" spans="1:8" x14ac:dyDescent="0.35">
      <c r="A20">
        <v>4.5389999999999997</v>
      </c>
      <c r="B20">
        <v>0</v>
      </c>
      <c r="C20">
        <v>0</v>
      </c>
      <c r="D20">
        <v>0</v>
      </c>
      <c r="E20">
        <f>AVERAGE(B20:D20)</f>
        <v>0</v>
      </c>
      <c r="F20">
        <f>$L$2*EXP(-((E20-$L$3)^2)/(2*$L$4^2))</f>
        <v>0.24000799206810947</v>
      </c>
      <c r="H20">
        <f>(E20-F20)^2</f>
        <v>5.7603836256565698E-2</v>
      </c>
    </row>
    <row r="21" spans="1:8" x14ac:dyDescent="0.35">
      <c r="A21">
        <v>5.2789999999999999</v>
      </c>
      <c r="B21">
        <v>0</v>
      </c>
      <c r="C21">
        <v>0</v>
      </c>
      <c r="D21">
        <v>0</v>
      </c>
      <c r="E21">
        <f>AVERAGE(B21:D21)</f>
        <v>0</v>
      </c>
      <c r="F21">
        <f>$L$2*EXP(-((E21-$L$3)^2)/(2*$L$4^2))</f>
        <v>0.24000799206810947</v>
      </c>
      <c r="H21">
        <f>(E21-F21)^2</f>
        <v>5.7603836256565698E-2</v>
      </c>
    </row>
    <row r="22" spans="1:8" x14ac:dyDescent="0.35">
      <c r="A22">
        <v>6.1390000000000002</v>
      </c>
      <c r="B22">
        <v>0</v>
      </c>
      <c r="C22">
        <v>0</v>
      </c>
      <c r="D22">
        <v>0</v>
      </c>
      <c r="E22">
        <f>AVERAGE(B22:D22)</f>
        <v>0</v>
      </c>
      <c r="F22">
        <f>$L$2*EXP(-((E22-$L$3)^2)/(2*$L$4^2))</f>
        <v>0.24000799206810947</v>
      </c>
      <c r="H22">
        <f>(E22-F22)^2</f>
        <v>5.7603836256565698E-2</v>
      </c>
    </row>
    <row r="23" spans="1:8" x14ac:dyDescent="0.35">
      <c r="A23">
        <v>7.1390000000000002</v>
      </c>
      <c r="B23">
        <v>0</v>
      </c>
      <c r="C23">
        <v>0</v>
      </c>
      <c r="D23">
        <v>0</v>
      </c>
      <c r="E23">
        <f>AVERAGE(B23:D23)</f>
        <v>0</v>
      </c>
      <c r="F23">
        <f>$L$2*EXP(-((E23-$L$3)^2)/(2*$L$4^2))</f>
        <v>0.24000799206810947</v>
      </c>
      <c r="H23">
        <f>(E23-F23)^2</f>
        <v>5.7603836256565698E-2</v>
      </c>
    </row>
    <row r="24" spans="1:8" x14ac:dyDescent="0.35">
      <c r="A24">
        <v>8.3019999999999996</v>
      </c>
      <c r="B24">
        <v>0</v>
      </c>
      <c r="C24">
        <v>0</v>
      </c>
      <c r="D24">
        <v>0</v>
      </c>
      <c r="E24">
        <f>AVERAGE(B24:D24)</f>
        <v>0</v>
      </c>
      <c r="F24">
        <f>$L$2*EXP(-((E24-$L$3)^2)/(2*$L$4^2))</f>
        <v>0.24000799206810947</v>
      </c>
      <c r="H24">
        <f>(E24-F24)^2</f>
        <v>5.7603836256565698E-2</v>
      </c>
    </row>
    <row r="25" spans="1:8" x14ac:dyDescent="0.35">
      <c r="A25">
        <v>9.6549999999999994</v>
      </c>
      <c r="B25">
        <v>0</v>
      </c>
      <c r="C25">
        <v>0</v>
      </c>
      <c r="D25">
        <v>4.21</v>
      </c>
      <c r="E25">
        <f>AVERAGE(B25:D25)</f>
        <v>1.4033333333333333</v>
      </c>
      <c r="F25">
        <f>$L$2*EXP(-((E25-$L$3)^2)/(2*$L$4^2))</f>
        <v>0.71696735849399817</v>
      </c>
      <c r="H25">
        <f>(E25-F25)^2</f>
        <v>0.47109825141715084</v>
      </c>
    </row>
    <row r="26" spans="1:8" x14ac:dyDescent="0.35">
      <c r="A26">
        <v>11.23</v>
      </c>
      <c r="B26">
        <v>1.7609999999999999</v>
      </c>
      <c r="C26">
        <v>3.2229999999999999</v>
      </c>
      <c r="D26">
        <v>9.1180000000000003</v>
      </c>
      <c r="E26">
        <f>AVERAGE(B26:D26)</f>
        <v>4.7006666666666668</v>
      </c>
      <c r="F26">
        <f>$L$2*EXP(-((E26-$L$3)^2)/(2*$L$4^2))</f>
        <v>4.3246266920641228</v>
      </c>
      <c r="H26">
        <f>(E26-F26)^2</f>
        <v>0.14140606249908194</v>
      </c>
    </row>
    <row r="27" spans="1:8" x14ac:dyDescent="0.35">
      <c r="A27">
        <v>13.06</v>
      </c>
      <c r="B27">
        <v>5.1050000000000004</v>
      </c>
      <c r="C27">
        <v>10.52</v>
      </c>
      <c r="D27">
        <v>10.119999999999999</v>
      </c>
      <c r="E27">
        <f>AVERAGE(B27:D27)</f>
        <v>8.5816666666666652</v>
      </c>
      <c r="F27">
        <f>$L$2*EXP(-((E27-$L$3)^2)/(2*$L$4^2))</f>
        <v>8.9151019844591222</v>
      </c>
      <c r="H27">
        <f>(E27-F27)^2</f>
        <v>0.11117911115135676</v>
      </c>
    </row>
    <row r="28" spans="1:8" x14ac:dyDescent="0.35">
      <c r="A28">
        <v>15.18</v>
      </c>
      <c r="B28">
        <v>8.0239999999999991</v>
      </c>
      <c r="C28">
        <v>12.97</v>
      </c>
      <c r="D28">
        <v>6.3730000000000002</v>
      </c>
      <c r="E28">
        <f>AVERAGE(B28:D28)</f>
        <v>9.1223333333333336</v>
      </c>
      <c r="F28">
        <f>$L$2*EXP(-((E28-$L$3)^2)/(2*$L$4^2))</f>
        <v>8.7504066164072736</v>
      </c>
      <c r="H28">
        <f>(E28-F28)^2</f>
        <v>0.1383294827633976</v>
      </c>
    </row>
    <row r="29" spans="1:8" x14ac:dyDescent="0.35">
      <c r="A29">
        <v>17.66</v>
      </c>
      <c r="B29">
        <v>8.8420000000000005</v>
      </c>
      <c r="C29">
        <v>7.3390000000000004</v>
      </c>
      <c r="D29">
        <v>1.4990000000000001</v>
      </c>
      <c r="E29">
        <f>AVERAGE(B29:D29)</f>
        <v>5.8933333333333335</v>
      </c>
      <c r="F29">
        <f>$L$2*EXP(-((E29-$L$3)^2)/(2*$L$4^2))</f>
        <v>6.3395815007025682</v>
      </c>
      <c r="H29">
        <f>(E29-F29)^2</f>
        <v>0.19913742688040048</v>
      </c>
    </row>
    <row r="30" spans="1:8" x14ac:dyDescent="0.35">
      <c r="A30">
        <v>20.53</v>
      </c>
      <c r="B30">
        <v>7.1879999999999997</v>
      </c>
      <c r="C30">
        <v>0.13150000000000001</v>
      </c>
      <c r="D30">
        <v>0</v>
      </c>
      <c r="E30">
        <f>AVERAGE(B30:D30)</f>
        <v>2.4398333333333331</v>
      </c>
      <c r="F30">
        <f>$L$2*EXP(-((E30-$L$3)^2)/(2*$L$4^2))</f>
        <v>1.4179800279185424</v>
      </c>
      <c r="H30">
        <f>(E30-F30)^2</f>
        <v>1.0441841777871335</v>
      </c>
    </row>
    <row r="31" spans="1:8" x14ac:dyDescent="0.35">
      <c r="A31">
        <v>23.88</v>
      </c>
      <c r="B31">
        <v>4.0549999999999997</v>
      </c>
      <c r="C31">
        <v>0</v>
      </c>
      <c r="D31">
        <v>0</v>
      </c>
      <c r="E31">
        <f>AVERAGE(B31:D31)</f>
        <v>1.3516666666666666</v>
      </c>
      <c r="F31">
        <f>$L$2*EXP(-((E31-$L$3)^2)/(2*$L$4^2))</f>
        <v>0.69106089900467715</v>
      </c>
      <c r="H31">
        <f>(E31-F31)^2</f>
        <v>0.43639998026828636</v>
      </c>
    </row>
    <row r="32" spans="1:8" x14ac:dyDescent="0.35">
      <c r="A32">
        <v>27.77</v>
      </c>
      <c r="B32">
        <v>1.1919999999999999</v>
      </c>
      <c r="C32">
        <v>0</v>
      </c>
      <c r="D32">
        <v>0</v>
      </c>
      <c r="E32">
        <f>AVERAGE(B32:D32)</f>
        <v>0.39733333333333332</v>
      </c>
      <c r="F32">
        <f>$L$2*EXP(-((E32-$L$3)^2)/(2*$L$4^2))</f>
        <v>0.33378330593358008</v>
      </c>
      <c r="H32">
        <f>(E32-F32)^2</f>
        <v>4.0386059825093879E-3</v>
      </c>
    </row>
    <row r="33" spans="1:9" x14ac:dyDescent="0.35">
      <c r="A33">
        <v>32.299999999999997</v>
      </c>
      <c r="B33">
        <v>0</v>
      </c>
      <c r="C33">
        <v>0</v>
      </c>
      <c r="D33">
        <v>0</v>
      </c>
      <c r="E33">
        <f>AVERAGE(B33:D33)</f>
        <v>0</v>
      </c>
      <c r="F33">
        <f>$L$2*EXP(-((E33-$L$3)^2)/(2*$L$4^2))</f>
        <v>0.24000799206810947</v>
      </c>
      <c r="H33">
        <f>(E33-F33)^2</f>
        <v>5.7603836256565698E-2</v>
      </c>
    </row>
    <row r="34" spans="1:9" x14ac:dyDescent="0.35">
      <c r="A34">
        <v>37.56</v>
      </c>
      <c r="B34">
        <v>0</v>
      </c>
      <c r="C34">
        <v>0</v>
      </c>
      <c r="D34">
        <v>0</v>
      </c>
      <c r="E34">
        <f>AVERAGE(B34:D34)</f>
        <v>0</v>
      </c>
      <c r="F34">
        <f>$L$2*EXP(-((E34-$L$3)^2)/(2*$L$4^2))</f>
        <v>0.24000799206810947</v>
      </c>
      <c r="H34">
        <f>(E34-F34)^2</f>
        <v>5.7603836256565698E-2</v>
      </c>
    </row>
    <row r="35" spans="1:9" x14ac:dyDescent="0.35">
      <c r="A35">
        <v>43.68</v>
      </c>
      <c r="B35">
        <v>0</v>
      </c>
      <c r="C35">
        <v>0</v>
      </c>
      <c r="D35">
        <v>0</v>
      </c>
      <c r="E35">
        <f>AVERAGE(B35:D35)</f>
        <v>0</v>
      </c>
      <c r="F35">
        <f>$L$2*EXP(-((E35-$L$3)^2)/(2*$L$4^2))</f>
        <v>0.24000799206810947</v>
      </c>
      <c r="G35">
        <f>$L$8*EXP(-((E35-$L$9)^2)/(2*$L$10^2))</f>
        <v>0.27551725358862994</v>
      </c>
      <c r="H35">
        <f>(E35-F35)^2</f>
        <v>5.7603836256565698E-2</v>
      </c>
    </row>
    <row r="36" spans="1:9" x14ac:dyDescent="0.35">
      <c r="A36">
        <v>50.79</v>
      </c>
      <c r="B36">
        <v>0</v>
      </c>
      <c r="C36">
        <v>0</v>
      </c>
      <c r="D36">
        <v>0</v>
      </c>
      <c r="E36">
        <f>AVERAGE(B36:D36)</f>
        <v>0</v>
      </c>
      <c r="G36">
        <f>$L$8*EXP(-((E36-$L$9)^2)/(2*$L$10^2))</f>
        <v>0.27551725358862994</v>
      </c>
      <c r="I36">
        <f>(E36-G36)^2</f>
        <v>7.5909757025021424E-2</v>
      </c>
    </row>
    <row r="37" spans="1:9" x14ac:dyDescent="0.35">
      <c r="A37">
        <v>59.07</v>
      </c>
      <c r="B37">
        <v>0</v>
      </c>
      <c r="C37">
        <v>0</v>
      </c>
      <c r="D37">
        <v>0</v>
      </c>
      <c r="E37">
        <f>AVERAGE(B37:D37)</f>
        <v>0</v>
      </c>
      <c r="G37">
        <f>$L$8*EXP(-((E37-$L$9)^2)/(2*$L$10^2))</f>
        <v>0.27551725358862994</v>
      </c>
      <c r="I37">
        <f>(E37-G37)^2</f>
        <v>7.5909757025021424E-2</v>
      </c>
    </row>
    <row r="38" spans="1:9" x14ac:dyDescent="0.35">
      <c r="A38">
        <v>68.69</v>
      </c>
      <c r="B38">
        <v>0</v>
      </c>
      <c r="C38">
        <v>0</v>
      </c>
      <c r="D38">
        <v>5.9189999999999996</v>
      </c>
      <c r="E38">
        <f>AVERAGE(B38:D38)</f>
        <v>1.9729999999999999</v>
      </c>
      <c r="G38">
        <f>$L$8*EXP(-((E38-$L$9)^2)/(2*$L$10^2))</f>
        <v>1.0205112277739237</v>
      </c>
      <c r="I38">
        <f>(E38-G38)^2</f>
        <v>0.90723486121673802</v>
      </c>
    </row>
    <row r="39" spans="1:9" x14ac:dyDescent="0.35">
      <c r="A39">
        <v>79.88</v>
      </c>
      <c r="B39">
        <v>0</v>
      </c>
      <c r="C39">
        <v>0</v>
      </c>
      <c r="D39">
        <v>17.05</v>
      </c>
      <c r="E39">
        <f>AVERAGE(B39:D39)</f>
        <v>5.6833333333333336</v>
      </c>
      <c r="G39">
        <f>$L$8*EXP(-((E39-$L$9)^2)/(2*$L$10^2))</f>
        <v>5.3027883035675041</v>
      </c>
      <c r="I39">
        <f>(E39-G39)^2</f>
        <v>0.14481451967947606</v>
      </c>
    </row>
    <row r="40" spans="1:9" x14ac:dyDescent="0.35">
      <c r="A40">
        <v>92.89</v>
      </c>
      <c r="B40">
        <v>0</v>
      </c>
      <c r="C40">
        <v>0</v>
      </c>
      <c r="D40">
        <v>23</v>
      </c>
      <c r="E40">
        <f>AVERAGE(B40:D40)</f>
        <v>7.666666666666667</v>
      </c>
      <c r="G40">
        <f>$L$8*EXP(-((E40-$L$9)^2)/(2*$L$10^2))</f>
        <v>8.2726347005101655</v>
      </c>
      <c r="I40">
        <f>(E40-G40)^2</f>
        <v>0.36719725804015535</v>
      </c>
    </row>
    <row r="41" spans="1:9" x14ac:dyDescent="0.35">
      <c r="A41">
        <v>108</v>
      </c>
      <c r="B41">
        <v>0</v>
      </c>
      <c r="C41">
        <v>11.7</v>
      </c>
      <c r="D41">
        <v>17.350000000000001</v>
      </c>
      <c r="E41">
        <f>AVERAGE(B41:D41)</f>
        <v>9.6833333333333336</v>
      </c>
      <c r="G41">
        <f>$L$8*EXP(-((E41-$L$9)^2)/(2*$L$10^2))</f>
        <v>9.5217024932267975</v>
      </c>
      <c r="I41">
        <f>(E41-G41)^2</f>
        <v>2.6124528473544625E-2</v>
      </c>
    </row>
    <row r="42" spans="1:9" x14ac:dyDescent="0.35">
      <c r="A42">
        <v>125.6</v>
      </c>
      <c r="B42">
        <v>0</v>
      </c>
      <c r="C42">
        <v>24.33</v>
      </c>
      <c r="D42">
        <v>5.3639999999999999</v>
      </c>
      <c r="E42">
        <f>AVERAGE(B42:D42)</f>
        <v>9.8979999999999997</v>
      </c>
      <c r="G42">
        <f>$L$8*EXP(-((E42-$L$9)^2)/(2*$L$10^2))</f>
        <v>9.4881264677509307</v>
      </c>
      <c r="I42">
        <f>(E42-G42)^2</f>
        <v>0.16799631243832858</v>
      </c>
    </row>
    <row r="43" spans="1:9" x14ac:dyDescent="0.35">
      <c r="A43">
        <v>146.1</v>
      </c>
      <c r="B43">
        <v>5.1760000000000002</v>
      </c>
      <c r="C43">
        <v>22.2</v>
      </c>
      <c r="D43">
        <v>0</v>
      </c>
      <c r="E43">
        <f>AVERAGE(B43:D43)</f>
        <v>9.125333333333332</v>
      </c>
      <c r="G43">
        <f>$L$8*EXP(-((E43-$L$9)^2)/(2*$L$10^2))</f>
        <v>9.4508333597447987</v>
      </c>
      <c r="I43">
        <f>(E43-G43)^2</f>
        <v>0.10595026719386551</v>
      </c>
    </row>
    <row r="44" spans="1:9" x14ac:dyDescent="0.35">
      <c r="A44">
        <v>169.9</v>
      </c>
      <c r="B44">
        <v>13.43</v>
      </c>
      <c r="C44">
        <v>7.59</v>
      </c>
      <c r="D44">
        <v>0</v>
      </c>
      <c r="E44">
        <f>AVERAGE(B44:D44)</f>
        <v>7.0066666666666668</v>
      </c>
      <c r="G44">
        <f>$L$8*EXP(-((E44-$L$9)^2)/(2*$L$10^2))</f>
        <v>7.3794348523470914</v>
      </c>
      <c r="I44">
        <f>(E44-G44)^2</f>
        <v>0.13895612025547549</v>
      </c>
    </row>
    <row r="45" spans="1:9" x14ac:dyDescent="0.35">
      <c r="A45">
        <v>197.6</v>
      </c>
      <c r="B45">
        <v>18.809999999999999</v>
      </c>
      <c r="C45">
        <v>0</v>
      </c>
      <c r="D45">
        <v>0</v>
      </c>
      <c r="E45">
        <f>AVERAGE(B45:D45)</f>
        <v>6.27</v>
      </c>
      <c r="G45">
        <f>$L$8*EXP(-((E45-$L$9)^2)/(2*$L$10^2))</f>
        <v>6.2427990217595468</v>
      </c>
      <c r="I45">
        <f>(E45-G45)^2</f>
        <v>7.398932172375843E-4</v>
      </c>
    </row>
    <row r="46" spans="1:9" x14ac:dyDescent="0.35">
      <c r="A46">
        <v>229.8</v>
      </c>
      <c r="B46">
        <v>16.91</v>
      </c>
      <c r="C46">
        <v>0</v>
      </c>
      <c r="D46">
        <v>0</v>
      </c>
      <c r="E46">
        <f>AVERAGE(B46:D46)</f>
        <v>5.6366666666666667</v>
      </c>
      <c r="G46">
        <f>$L$8*EXP(-((E46-$L$9)^2)/(2*$L$10^2))</f>
        <v>5.2284230288148494</v>
      </c>
      <c r="I46">
        <f>(E46-G46)^2</f>
        <v>0.16666286784648573</v>
      </c>
    </row>
    <row r="47" spans="1:9" x14ac:dyDescent="0.35">
      <c r="A47">
        <v>267.2</v>
      </c>
      <c r="B47">
        <v>8.6980000000000004</v>
      </c>
      <c r="C47">
        <v>0</v>
      </c>
      <c r="D47">
        <v>0</v>
      </c>
      <c r="E47">
        <f>AVERAGE(B47:D47)</f>
        <v>2.8993333333333333</v>
      </c>
      <c r="G47">
        <f>$L$8*EXP(-((E47-$L$9)^2)/(2*$L$10^2))</f>
        <v>1.7012119797461971</v>
      </c>
      <c r="I47">
        <f>(E47-G47)^2</f>
        <v>1.4354947779214715</v>
      </c>
    </row>
    <row r="48" spans="1:9" x14ac:dyDescent="0.35">
      <c r="A48">
        <v>310.7</v>
      </c>
      <c r="B48">
        <v>0.80289999999999995</v>
      </c>
      <c r="C48">
        <v>0</v>
      </c>
      <c r="D48">
        <v>0</v>
      </c>
      <c r="E48">
        <f>AVERAGE(B48:D48)</f>
        <v>0.26763333333333333</v>
      </c>
      <c r="G48">
        <f>$L$8*EXP(-((E48-$L$9)^2)/(2*$L$10^2))</f>
        <v>0.33492201239170444</v>
      </c>
      <c r="I48">
        <f>(E48-G48)^2</f>
        <v>4.52776632942047E-3</v>
      </c>
    </row>
    <row r="49" spans="1:9" x14ac:dyDescent="0.35">
      <c r="A49">
        <v>361.3</v>
      </c>
      <c r="B49">
        <v>0</v>
      </c>
      <c r="C49">
        <v>0</v>
      </c>
      <c r="D49">
        <v>0</v>
      </c>
      <c r="E49">
        <f>AVERAGE(B49:D49)</f>
        <v>0</v>
      </c>
      <c r="G49">
        <f>$L$8*EXP(-((E49-$L$9)^2)/(2*$L$10^2))</f>
        <v>0.27551725358862994</v>
      </c>
      <c r="I49">
        <f>(E49-G49)^2</f>
        <v>7.5909757025021424E-2</v>
      </c>
    </row>
    <row r="50" spans="1:9" x14ac:dyDescent="0.35">
      <c r="A50">
        <v>420.2</v>
      </c>
      <c r="B50">
        <v>0</v>
      </c>
      <c r="C50">
        <v>0</v>
      </c>
      <c r="D50">
        <v>0</v>
      </c>
      <c r="E50">
        <f>AVERAGE(B50:D50)</f>
        <v>0</v>
      </c>
      <c r="G50">
        <f>$L$8*EXP(-((E50-$L$9)^2)/(2*$L$10^2))</f>
        <v>0.27551725358862994</v>
      </c>
      <c r="I50">
        <f>(E50-G50)^2</f>
        <v>7.5909757025021424E-2</v>
      </c>
    </row>
    <row r="51" spans="1:9" x14ac:dyDescent="0.35">
      <c r="A51">
        <v>488.7</v>
      </c>
      <c r="B51">
        <v>0</v>
      </c>
      <c r="C51">
        <v>0</v>
      </c>
      <c r="D51">
        <v>0</v>
      </c>
      <c r="E51">
        <f>AVERAGE(B51:D51)</f>
        <v>0</v>
      </c>
      <c r="G51">
        <f>$L$8*EXP(-((E51-$L$9)^2)/(2*$L$10^2))</f>
        <v>0.27551725358862994</v>
      </c>
      <c r="I51">
        <f>(E51-G51)^2</f>
        <v>7.5909757025021424E-2</v>
      </c>
    </row>
    <row r="52" spans="1:9" x14ac:dyDescent="0.35">
      <c r="A52">
        <v>568.29999999999995</v>
      </c>
      <c r="B52">
        <v>0</v>
      </c>
      <c r="C52">
        <v>0</v>
      </c>
      <c r="D52">
        <v>0</v>
      </c>
      <c r="E52">
        <f>AVERAGE(B52:D52)</f>
        <v>0</v>
      </c>
      <c r="G52">
        <f>$L$8*EXP(-((E52-$L$9)^2)/(2*$L$10^2))</f>
        <v>0.27551725358862994</v>
      </c>
      <c r="I52">
        <f>(E52-G52)^2</f>
        <v>7.5909757025021424E-2</v>
      </c>
    </row>
    <row r="53" spans="1:9" x14ac:dyDescent="0.35">
      <c r="A53">
        <v>660.9</v>
      </c>
      <c r="B53">
        <v>0</v>
      </c>
      <c r="C53">
        <v>0</v>
      </c>
      <c r="D53">
        <v>0</v>
      </c>
      <c r="E53">
        <f>AVERAGE(B53:D53)</f>
        <v>0</v>
      </c>
      <c r="G53">
        <f>$L$8*EXP(-((E53-$L$9)^2)/(2*$L$10^2))</f>
        <v>0.27551725358862994</v>
      </c>
      <c r="I53">
        <f>(E53-G53)^2</f>
        <v>7.5909757025021424E-2</v>
      </c>
    </row>
    <row r="54" spans="1:9" x14ac:dyDescent="0.35">
      <c r="A54">
        <v>768.5</v>
      </c>
      <c r="B54">
        <v>0</v>
      </c>
      <c r="C54">
        <v>0</v>
      </c>
      <c r="D54">
        <v>0</v>
      </c>
      <c r="E54">
        <f>AVERAGE(B54:D54)</f>
        <v>0</v>
      </c>
      <c r="G54">
        <f>$L$8*EXP(-((E54-$L$9)^2)/(2*$L$10^2))</f>
        <v>0.27551725358862994</v>
      </c>
      <c r="I54">
        <f>(E54-G54)^2</f>
        <v>7.5909757025021424E-2</v>
      </c>
    </row>
    <row r="55" spans="1:9" x14ac:dyDescent="0.35">
      <c r="A55">
        <v>893.8</v>
      </c>
      <c r="B55">
        <v>0</v>
      </c>
      <c r="C55">
        <v>0</v>
      </c>
      <c r="D55">
        <v>0</v>
      </c>
      <c r="E55">
        <f>AVERAGE(B55:D55)</f>
        <v>0</v>
      </c>
      <c r="G55">
        <f>$L$8*EXP(-((E55-$L$9)^2)/(2*$L$10^2))</f>
        <v>0.27551725358862994</v>
      </c>
      <c r="I55">
        <f>(E55-G55)^2</f>
        <v>7.5909757025021424E-2</v>
      </c>
    </row>
    <row r="56" spans="1:9" x14ac:dyDescent="0.35">
      <c r="A56">
        <v>1039</v>
      </c>
      <c r="B56">
        <v>0</v>
      </c>
      <c r="C56">
        <v>0</v>
      </c>
      <c r="D56">
        <v>0</v>
      </c>
      <c r="E56">
        <f>AVERAGE(B56:D56)</f>
        <v>0</v>
      </c>
      <c r="G56">
        <f>$L$8*EXP(-((E56-$L$9)^2)/(2*$L$10^2))</f>
        <v>0.27551725358862994</v>
      </c>
      <c r="I56">
        <f>(E56-G56)^2</f>
        <v>7.5909757025021424E-2</v>
      </c>
    </row>
    <row r="57" spans="1:9" x14ac:dyDescent="0.35">
      <c r="A57">
        <v>1209</v>
      </c>
      <c r="B57">
        <v>0</v>
      </c>
      <c r="C57">
        <v>0</v>
      </c>
      <c r="D57">
        <v>0</v>
      </c>
      <c r="E57">
        <f>AVERAGE(B57:D57)</f>
        <v>0</v>
      </c>
      <c r="G57">
        <f>$L$8*EXP(-((E57-$L$9)^2)/(2*$L$10^2))</f>
        <v>0.27551725358862994</v>
      </c>
      <c r="I57">
        <f>(E57-G57)^2</f>
        <v>7.5909757025021424E-2</v>
      </c>
    </row>
    <row r="58" spans="1:9" x14ac:dyDescent="0.35">
      <c r="A58">
        <v>1406</v>
      </c>
      <c r="B58">
        <v>0</v>
      </c>
      <c r="C58">
        <v>0</v>
      </c>
      <c r="D58">
        <v>0</v>
      </c>
      <c r="E58">
        <f>AVERAGE(B58:D58)</f>
        <v>0</v>
      </c>
      <c r="G58">
        <f>$L$8*EXP(-((E58-$L$9)^2)/(2*$L$10^2))</f>
        <v>0.27551725358862994</v>
      </c>
      <c r="I58">
        <f>(E58-G58)^2</f>
        <v>7.5909757025021424E-2</v>
      </c>
    </row>
    <row r="59" spans="1:9" x14ac:dyDescent="0.35">
      <c r="A59">
        <v>1635</v>
      </c>
      <c r="B59">
        <v>0</v>
      </c>
      <c r="C59">
        <v>0</v>
      </c>
      <c r="D59">
        <v>0</v>
      </c>
      <c r="E59">
        <f>AVERAGE(B59:D59)</f>
        <v>0</v>
      </c>
      <c r="G59">
        <f>$L$8*EXP(-((E59-$L$9)^2)/(2*$L$10^2))</f>
        <v>0.27551725358862994</v>
      </c>
      <c r="I59">
        <f>(E59-G59)^2</f>
        <v>7.5909757025021424E-2</v>
      </c>
    </row>
    <row r="60" spans="1:9" x14ac:dyDescent="0.35">
      <c r="A60">
        <v>1901</v>
      </c>
      <c r="B60">
        <v>0</v>
      </c>
      <c r="C60">
        <v>0</v>
      </c>
      <c r="D60">
        <v>0</v>
      </c>
      <c r="E60">
        <f>AVERAGE(B60:D60)</f>
        <v>0</v>
      </c>
      <c r="G60">
        <f>$L$8*EXP(-((E60-$L$9)^2)/(2*$L$10^2))</f>
        <v>0.27551725358862994</v>
      </c>
      <c r="I60">
        <f>(E60-G60)^2</f>
        <v>7.5909757025021424E-2</v>
      </c>
    </row>
    <row r="61" spans="1:9" x14ac:dyDescent="0.35">
      <c r="A61">
        <v>2211</v>
      </c>
      <c r="B61">
        <v>0</v>
      </c>
      <c r="C61">
        <v>0</v>
      </c>
      <c r="D61">
        <v>0</v>
      </c>
      <c r="E61">
        <f>AVERAGE(B61:D61)</f>
        <v>0</v>
      </c>
      <c r="G61">
        <f>$L$8*EXP(-((E61-$L$9)^2)/(2*$L$10^2))</f>
        <v>0.27551725358862994</v>
      </c>
      <c r="I61">
        <f>(E61-G61)^2</f>
        <v>7.5909757025021424E-2</v>
      </c>
    </row>
    <row r="62" spans="1:9" x14ac:dyDescent="0.35">
      <c r="A62">
        <v>2571</v>
      </c>
      <c r="B62">
        <v>0</v>
      </c>
      <c r="C62">
        <v>0</v>
      </c>
      <c r="D62">
        <v>0</v>
      </c>
      <c r="E62">
        <f>AVERAGE(B62:D62)</f>
        <v>0</v>
      </c>
      <c r="G62">
        <f>$L$8*EXP(-((E62-$L$9)^2)/(2*$L$10^2))</f>
        <v>0.27551725358862994</v>
      </c>
      <c r="I62">
        <f>(E62-G62)^2</f>
        <v>7.5909757025021424E-2</v>
      </c>
    </row>
    <row r="63" spans="1:9" x14ac:dyDescent="0.35">
      <c r="A63">
        <v>2990</v>
      </c>
      <c r="B63">
        <v>0</v>
      </c>
      <c r="C63">
        <v>0</v>
      </c>
      <c r="D63">
        <v>0</v>
      </c>
      <c r="E63">
        <f>AVERAGE(B63:D63)</f>
        <v>0</v>
      </c>
      <c r="G63">
        <f>$L$8*EXP(-((E63-$L$9)^2)/(2*$L$10^2))</f>
        <v>0.27551725358862994</v>
      </c>
      <c r="I63">
        <f>(E63-G63)^2</f>
        <v>7.5909757025021424E-2</v>
      </c>
    </row>
    <row r="64" spans="1:9" x14ac:dyDescent="0.35">
      <c r="A64">
        <v>3477</v>
      </c>
      <c r="B64">
        <v>0</v>
      </c>
      <c r="C64">
        <v>0</v>
      </c>
      <c r="D64">
        <v>0</v>
      </c>
      <c r="E64">
        <f>AVERAGE(B64:D64)</f>
        <v>0</v>
      </c>
      <c r="G64">
        <f>$L$8*EXP(-((E64-$L$9)^2)/(2*$L$10^2))</f>
        <v>0.27551725358862994</v>
      </c>
      <c r="I64">
        <f>(E64-G64)^2</f>
        <v>7.5909757025021424E-2</v>
      </c>
    </row>
    <row r="65" spans="1:9" x14ac:dyDescent="0.35">
      <c r="A65">
        <v>4043</v>
      </c>
      <c r="B65">
        <v>0</v>
      </c>
      <c r="C65">
        <v>0</v>
      </c>
      <c r="D65">
        <v>0</v>
      </c>
      <c r="E65">
        <f>AVERAGE(B65:D65)</f>
        <v>0</v>
      </c>
      <c r="G65">
        <f>$L$8*EXP(-((E65-$L$9)^2)/(2*$L$10^2))</f>
        <v>0.27551725358862994</v>
      </c>
      <c r="I65">
        <f>(E65-G65)^2</f>
        <v>7.5909757025021424E-2</v>
      </c>
    </row>
    <row r="66" spans="1:9" x14ac:dyDescent="0.35">
      <c r="A66">
        <v>4702</v>
      </c>
      <c r="B66">
        <v>0</v>
      </c>
      <c r="C66">
        <v>0</v>
      </c>
      <c r="D66">
        <v>0</v>
      </c>
      <c r="E66">
        <f>AVERAGE(B66:D66)</f>
        <v>0</v>
      </c>
      <c r="G66">
        <f>$L$8*EXP(-((E66-$L$9)^2)/(2*$L$10^2))</f>
        <v>0.27551725358862994</v>
      </c>
      <c r="I66">
        <f>(E66-G66)^2</f>
        <v>7.5909757025021424E-2</v>
      </c>
    </row>
    <row r="67" spans="1:9" x14ac:dyDescent="0.35">
      <c r="A67">
        <v>5468</v>
      </c>
      <c r="B67">
        <v>0</v>
      </c>
      <c r="C67">
        <v>0</v>
      </c>
      <c r="D67">
        <v>0</v>
      </c>
      <c r="E67">
        <f>AVERAGE(B67:D67)</f>
        <v>0</v>
      </c>
      <c r="G67">
        <f>$L$8*EXP(-((E67-$L$9)^2)/(2*$L$10^2))</f>
        <v>0.27551725358862994</v>
      </c>
      <c r="I67">
        <f>(E67-G67)^2</f>
        <v>7.5909757025021424E-2</v>
      </c>
    </row>
    <row r="68" spans="1:9" x14ac:dyDescent="0.35">
      <c r="A68">
        <v>6358</v>
      </c>
      <c r="B68">
        <v>0</v>
      </c>
      <c r="C68">
        <v>0</v>
      </c>
      <c r="D68">
        <v>0</v>
      </c>
      <c r="E68">
        <f>AVERAGE(B68:D68)</f>
        <v>0</v>
      </c>
      <c r="G68">
        <f>$L$8*EXP(-((E68-$L$9)^2)/(2*$L$10^2))</f>
        <v>0.27551725358862994</v>
      </c>
      <c r="I68">
        <f>(E68-G68)^2</f>
        <v>7.5909757025021424E-2</v>
      </c>
    </row>
    <row r="69" spans="1:9" x14ac:dyDescent="0.35">
      <c r="A69">
        <v>7394</v>
      </c>
      <c r="B69">
        <v>0</v>
      </c>
      <c r="C69">
        <v>0</v>
      </c>
      <c r="D69">
        <v>0</v>
      </c>
      <c r="E69">
        <f>AVERAGE(B69:D69)</f>
        <v>0</v>
      </c>
      <c r="G69">
        <f>$L$8*EXP(-((E69-$L$9)^2)/(2*$L$10^2))</f>
        <v>0.27551725358862994</v>
      </c>
      <c r="I69">
        <f>(E69-G69)^2</f>
        <v>7.5909757025021424E-2</v>
      </c>
    </row>
    <row r="70" spans="1:9" x14ac:dyDescent="0.35">
      <c r="A70">
        <v>8599</v>
      </c>
      <c r="B70">
        <v>0</v>
      </c>
      <c r="C70">
        <v>0</v>
      </c>
      <c r="D70">
        <v>0</v>
      </c>
      <c r="E70">
        <f>AVERAGE(B70:D70)</f>
        <v>0</v>
      </c>
      <c r="G70">
        <f>$L$8*EXP(-((E70-$L$9)^2)/(2*$L$10^2))</f>
        <v>0.27551725358862994</v>
      </c>
      <c r="I70">
        <f>(E70-G70)^2</f>
        <v>7.5909757025021424E-2</v>
      </c>
    </row>
    <row r="71" spans="1:9" x14ac:dyDescent="0.35">
      <c r="A71" s="1">
        <v>10000</v>
      </c>
      <c r="B71">
        <v>0</v>
      </c>
      <c r="C71">
        <v>0</v>
      </c>
      <c r="D71">
        <v>0</v>
      </c>
      <c r="E71">
        <f>AVERAGE(B71:D71)</f>
        <v>0</v>
      </c>
      <c r="G71">
        <f>$L$8*EXP(-((E71-$L$9)^2)/(2*$L$10^2))</f>
        <v>0.27551725358862994</v>
      </c>
      <c r="I71">
        <f>(E71-G71)^2</f>
        <v>7.5909757025021424E-2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9B45-50CD-4A90-A387-619266685392}">
  <dimension ref="A1:L71"/>
  <sheetViews>
    <sheetView topLeftCell="A2" workbookViewId="0">
      <selection activeCell="R22" sqref="R22"/>
    </sheetView>
  </sheetViews>
  <sheetFormatPr baseColWidth="10" defaultRowHeight="14.5" x14ac:dyDescent="0.35"/>
  <sheetData>
    <row r="1" spans="1:12" x14ac:dyDescent="0.35">
      <c r="A1" t="s">
        <v>0</v>
      </c>
      <c r="B1" t="s">
        <v>11</v>
      </c>
      <c r="C1" t="s">
        <v>12</v>
      </c>
      <c r="D1" t="s">
        <v>13</v>
      </c>
      <c r="E1" t="s">
        <v>26</v>
      </c>
      <c r="F1" t="s">
        <v>27</v>
      </c>
      <c r="G1" t="s">
        <v>36</v>
      </c>
      <c r="K1" t="s">
        <v>18</v>
      </c>
    </row>
    <row r="2" spans="1:12" x14ac:dyDescent="0.3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0.35792028955063093</v>
      </c>
      <c r="G2">
        <f>(E2-F2)^2</f>
        <v>0.12810693367200748</v>
      </c>
      <c r="K2" t="s">
        <v>19</v>
      </c>
      <c r="L2">
        <v>28.851680148002522</v>
      </c>
    </row>
    <row r="3" spans="1:12" x14ac:dyDescent="0.3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66" si="1">$L$2*EXP(-((E3-$L$3)^2)/(2*$L$4^2))</f>
        <v>0.35792028955063093</v>
      </c>
      <c r="G3">
        <f t="shared" ref="G3:G66" si="2">(E3-F3)^2</f>
        <v>0.12810693367200748</v>
      </c>
      <c r="K3" t="s">
        <v>17</v>
      </c>
      <c r="L3">
        <v>25.136732226721211</v>
      </c>
    </row>
    <row r="4" spans="1:12" x14ac:dyDescent="0.3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0.35792028955063093</v>
      </c>
      <c r="G4">
        <f t="shared" si="2"/>
        <v>0.12810693367200748</v>
      </c>
      <c r="K4" t="s">
        <v>20</v>
      </c>
      <c r="L4">
        <v>8.4836099797295788</v>
      </c>
    </row>
    <row r="5" spans="1:12" x14ac:dyDescent="0.3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0.35792028955063093</v>
      </c>
      <c r="G5">
        <f t="shared" si="2"/>
        <v>0.12810693367200748</v>
      </c>
      <c r="K5" t="s">
        <v>25</v>
      </c>
      <c r="L5">
        <f>SUM(G2:G71)</f>
        <v>32.590621528932473</v>
      </c>
    </row>
    <row r="6" spans="1:12" x14ac:dyDescent="0.3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0.35792028955063093</v>
      </c>
      <c r="G6">
        <f t="shared" si="2"/>
        <v>0.12810693367200748</v>
      </c>
    </row>
    <row r="7" spans="1:12" x14ac:dyDescent="0.3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0.35792028955063093</v>
      </c>
      <c r="G7">
        <f t="shared" si="2"/>
        <v>0.12810693367200748</v>
      </c>
    </row>
    <row r="8" spans="1:12" x14ac:dyDescent="0.3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0.35792028955063093</v>
      </c>
      <c r="G8">
        <f t="shared" si="2"/>
        <v>0.12810693367200748</v>
      </c>
    </row>
    <row r="9" spans="1:12" x14ac:dyDescent="0.3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0.35792028955063093</v>
      </c>
      <c r="G9">
        <f t="shared" si="2"/>
        <v>0.12810693367200748</v>
      </c>
    </row>
    <row r="10" spans="1:12" x14ac:dyDescent="0.3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0.35792028955063093</v>
      </c>
      <c r="G10">
        <f t="shared" si="2"/>
        <v>0.12810693367200748</v>
      </c>
    </row>
    <row r="11" spans="1:12" x14ac:dyDescent="0.3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0.35792028955063093</v>
      </c>
      <c r="G11">
        <f t="shared" si="2"/>
        <v>0.12810693367200748</v>
      </c>
    </row>
    <row r="12" spans="1:12" x14ac:dyDescent="0.3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0.35792028955063093</v>
      </c>
      <c r="G12">
        <f t="shared" si="2"/>
        <v>0.12810693367200748</v>
      </c>
    </row>
    <row r="13" spans="1:12" x14ac:dyDescent="0.3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0.35792028955063093</v>
      </c>
      <c r="G13">
        <f t="shared" si="2"/>
        <v>0.12810693367200748</v>
      </c>
    </row>
    <row r="14" spans="1:12" x14ac:dyDescent="0.3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0.35792028955063093</v>
      </c>
      <c r="G14">
        <f t="shared" si="2"/>
        <v>0.12810693367200748</v>
      </c>
    </row>
    <row r="15" spans="1:12" x14ac:dyDescent="0.3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0.35792028955063093</v>
      </c>
      <c r="G15">
        <f t="shared" si="2"/>
        <v>0.12810693367200748</v>
      </c>
    </row>
    <row r="16" spans="1:12" x14ac:dyDescent="0.3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0.35792028955063093</v>
      </c>
      <c r="G16">
        <f t="shared" si="2"/>
        <v>0.12810693367200748</v>
      </c>
    </row>
    <row r="17" spans="1:7" x14ac:dyDescent="0.3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0.35792028955063093</v>
      </c>
      <c r="G17">
        <f t="shared" si="2"/>
        <v>0.12810693367200748</v>
      </c>
    </row>
    <row r="18" spans="1:7" x14ac:dyDescent="0.3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0.35792028955063093</v>
      </c>
      <c r="G18">
        <f t="shared" si="2"/>
        <v>0.12810693367200748</v>
      </c>
    </row>
    <row r="19" spans="1:7" x14ac:dyDescent="0.3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0.35792028955063093</v>
      </c>
      <c r="G19">
        <f t="shared" si="2"/>
        <v>0.12810693367200748</v>
      </c>
    </row>
    <row r="20" spans="1:7" x14ac:dyDescent="0.3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0.35792028955063093</v>
      </c>
      <c r="G20">
        <f t="shared" si="2"/>
        <v>0.12810693367200748</v>
      </c>
    </row>
    <row r="21" spans="1:7" x14ac:dyDescent="0.3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0.35792028955063093</v>
      </c>
      <c r="G21">
        <f t="shared" si="2"/>
        <v>0.12810693367200748</v>
      </c>
    </row>
    <row r="22" spans="1:7" x14ac:dyDescent="0.3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0.35792028955063093</v>
      </c>
      <c r="G22">
        <f t="shared" si="2"/>
        <v>0.12810693367200748</v>
      </c>
    </row>
    <row r="23" spans="1:7" x14ac:dyDescent="0.3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0.35792028955063093</v>
      </c>
      <c r="G23">
        <f t="shared" si="2"/>
        <v>0.12810693367200748</v>
      </c>
    </row>
    <row r="24" spans="1:7" x14ac:dyDescent="0.35">
      <c r="A24">
        <v>8.3019999999999996</v>
      </c>
      <c r="B24">
        <v>0</v>
      </c>
      <c r="C24">
        <v>0</v>
      </c>
      <c r="D24">
        <v>10.51</v>
      </c>
      <c r="E24">
        <f t="shared" si="0"/>
        <v>3.5033333333333334</v>
      </c>
      <c r="F24">
        <f t="shared" si="1"/>
        <v>1.1172385749380294</v>
      </c>
      <c r="G24">
        <f t="shared" si="2"/>
        <v>5.6934481960415431</v>
      </c>
    </row>
    <row r="25" spans="1:7" x14ac:dyDescent="0.35">
      <c r="A25">
        <v>9.6549999999999994</v>
      </c>
      <c r="B25">
        <v>7.3789999999999996</v>
      </c>
      <c r="C25">
        <v>7.9829999999999997</v>
      </c>
      <c r="D25">
        <v>30.22</v>
      </c>
      <c r="E25">
        <f t="shared" si="0"/>
        <v>15.193999999999997</v>
      </c>
      <c r="F25">
        <f t="shared" si="1"/>
        <v>14.517928496963167</v>
      </c>
      <c r="G25">
        <f t="shared" si="2"/>
        <v>0.45707267721847883</v>
      </c>
    </row>
    <row r="26" spans="1:7" x14ac:dyDescent="0.35">
      <c r="A26">
        <v>11.23</v>
      </c>
      <c r="B26">
        <v>23.41</v>
      </c>
      <c r="C26">
        <v>26.51</v>
      </c>
      <c r="D26">
        <v>33.049999999999997</v>
      </c>
      <c r="E26">
        <f t="shared" si="0"/>
        <v>27.656666666666666</v>
      </c>
      <c r="F26">
        <f t="shared" si="1"/>
        <v>27.606552271973325</v>
      </c>
      <c r="G26">
        <f t="shared" si="2"/>
        <v>2.5114525554800426E-3</v>
      </c>
    </row>
    <row r="27" spans="1:7" x14ac:dyDescent="0.35">
      <c r="A27">
        <v>13.06</v>
      </c>
      <c r="B27">
        <v>30.18</v>
      </c>
      <c r="C27">
        <v>34.33</v>
      </c>
      <c r="D27">
        <v>18.52</v>
      </c>
      <c r="E27">
        <f t="shared" si="0"/>
        <v>27.676666666666662</v>
      </c>
      <c r="F27">
        <f t="shared" si="1"/>
        <v>27.587150678855085</v>
      </c>
      <c r="G27">
        <f t="shared" si="2"/>
        <v>8.0131120738824013E-3</v>
      </c>
    </row>
    <row r="28" spans="1:7" x14ac:dyDescent="0.35">
      <c r="A28">
        <v>15.18</v>
      </c>
      <c r="B28">
        <v>22.11</v>
      </c>
      <c r="C28">
        <v>22.27</v>
      </c>
      <c r="D28">
        <v>6.3380000000000001</v>
      </c>
      <c r="E28">
        <f t="shared" si="0"/>
        <v>16.905999999999999</v>
      </c>
      <c r="F28">
        <f t="shared" si="1"/>
        <v>18.020892451221172</v>
      </c>
      <c r="G28">
        <f t="shared" si="2"/>
        <v>1.2429851777899568</v>
      </c>
    </row>
    <row r="29" spans="1:7" x14ac:dyDescent="0.35">
      <c r="A29">
        <v>17.66</v>
      </c>
      <c r="B29">
        <v>11.22</v>
      </c>
      <c r="C29">
        <v>7.6749999999999998</v>
      </c>
      <c r="D29">
        <v>1.2529999999999999</v>
      </c>
      <c r="E29">
        <f t="shared" si="0"/>
        <v>6.7160000000000002</v>
      </c>
      <c r="F29">
        <f t="shared" si="1"/>
        <v>2.7314355417378606</v>
      </c>
      <c r="G29">
        <f t="shared" si="2"/>
        <v>15.876753922045857</v>
      </c>
    </row>
    <row r="30" spans="1:7" x14ac:dyDescent="0.35">
      <c r="A30">
        <v>20.53</v>
      </c>
      <c r="B30">
        <v>4.2530000000000001</v>
      </c>
      <c r="C30">
        <v>1.222</v>
      </c>
      <c r="D30">
        <v>0.1002</v>
      </c>
      <c r="E30">
        <f t="shared" si="0"/>
        <v>1.8583999999999998</v>
      </c>
      <c r="F30">
        <f t="shared" si="1"/>
        <v>0.66872962707237571</v>
      </c>
      <c r="G30">
        <f t="shared" si="2"/>
        <v>1.4153155962217523</v>
      </c>
    </row>
    <row r="31" spans="1:7" x14ac:dyDescent="0.35">
      <c r="A31">
        <v>23.88</v>
      </c>
      <c r="B31">
        <v>1.198</v>
      </c>
      <c r="C31">
        <v>8.7329999999999994E-3</v>
      </c>
      <c r="D31">
        <v>0</v>
      </c>
      <c r="E31">
        <f t="shared" si="0"/>
        <v>0.40224433333333337</v>
      </c>
      <c r="F31">
        <f t="shared" si="1"/>
        <v>0.41144429732001031</v>
      </c>
      <c r="G31">
        <f t="shared" si="2"/>
        <v>8.4639337356152657E-5</v>
      </c>
    </row>
    <row r="32" spans="1:7" x14ac:dyDescent="0.35">
      <c r="A32">
        <v>27.77</v>
      </c>
      <c r="B32">
        <v>0.22850000000000001</v>
      </c>
      <c r="C32">
        <v>0</v>
      </c>
      <c r="D32">
        <v>0</v>
      </c>
      <c r="E32">
        <f t="shared" si="0"/>
        <v>7.6166666666666674E-2</v>
      </c>
      <c r="F32">
        <f t="shared" si="1"/>
        <v>0.36755460280093627</v>
      </c>
      <c r="G32">
        <f t="shared" si="2"/>
        <v>8.4906929324589181E-2</v>
      </c>
    </row>
    <row r="33" spans="1:7" x14ac:dyDescent="0.35">
      <c r="A33">
        <v>32.299999999999997</v>
      </c>
      <c r="B33">
        <v>2.198E-2</v>
      </c>
      <c r="C33">
        <v>0</v>
      </c>
      <c r="D33">
        <v>0</v>
      </c>
      <c r="E33">
        <f t="shared" si="0"/>
        <v>7.3266666666666662E-3</v>
      </c>
      <c r="F33">
        <f t="shared" si="1"/>
        <v>0.35883721194705154</v>
      </c>
      <c r="G33">
        <f t="shared" si="2"/>
        <v>0.12355966344331351</v>
      </c>
    </row>
    <row r="34" spans="1:7" x14ac:dyDescent="0.35">
      <c r="A34">
        <v>37.56</v>
      </c>
      <c r="B34">
        <v>0</v>
      </c>
      <c r="C34">
        <v>0</v>
      </c>
      <c r="D34">
        <v>0</v>
      </c>
      <c r="E34">
        <f t="shared" si="0"/>
        <v>0</v>
      </c>
      <c r="F34">
        <f t="shared" si="1"/>
        <v>0.35792028955063093</v>
      </c>
      <c r="G34">
        <f t="shared" si="2"/>
        <v>0.12810693367200748</v>
      </c>
    </row>
    <row r="35" spans="1:7" x14ac:dyDescent="0.35">
      <c r="A35">
        <v>43.68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0.35792028955063093</v>
      </c>
      <c r="G35">
        <f t="shared" si="2"/>
        <v>0.12810693367200748</v>
      </c>
    </row>
    <row r="36" spans="1:7" x14ac:dyDescent="0.35">
      <c r="A36">
        <v>50.79</v>
      </c>
      <c r="B36">
        <v>0</v>
      </c>
      <c r="C36">
        <v>0</v>
      </c>
      <c r="D36">
        <v>0</v>
      </c>
      <c r="E36">
        <f t="shared" si="0"/>
        <v>0</v>
      </c>
      <c r="F36">
        <f t="shared" si="1"/>
        <v>0.35792028955063093</v>
      </c>
      <c r="G36">
        <f t="shared" si="2"/>
        <v>0.12810693367200748</v>
      </c>
    </row>
    <row r="37" spans="1:7" x14ac:dyDescent="0.35">
      <c r="A37">
        <v>59.07</v>
      </c>
      <c r="B37">
        <v>0</v>
      </c>
      <c r="C37">
        <v>0</v>
      </c>
      <c r="D37">
        <v>1.219E-4</v>
      </c>
      <c r="E37">
        <f t="shared" si="0"/>
        <v>4.0633333333333329E-5</v>
      </c>
      <c r="F37">
        <f t="shared" si="1"/>
        <v>0.35792536902683114</v>
      </c>
      <c r="G37">
        <f t="shared" si="2"/>
        <v>0.1280814840424048</v>
      </c>
    </row>
    <row r="38" spans="1:7" x14ac:dyDescent="0.35">
      <c r="A38">
        <v>68.69</v>
      </c>
      <c r="B38">
        <v>0</v>
      </c>
      <c r="C38">
        <v>0</v>
      </c>
      <c r="D38">
        <v>3.9090000000000001E-4</v>
      </c>
      <c r="E38">
        <f t="shared" si="0"/>
        <v>1.303E-4</v>
      </c>
      <c r="F38">
        <f t="shared" si="1"/>
        <v>0.35793657826922215</v>
      </c>
      <c r="G38">
        <f t="shared" si="2"/>
        <v>0.12802533276887201</v>
      </c>
    </row>
    <row r="39" spans="1:7" x14ac:dyDescent="0.35">
      <c r="A39">
        <v>79.88</v>
      </c>
      <c r="B39">
        <v>0</v>
      </c>
      <c r="C39">
        <v>0</v>
      </c>
      <c r="D39">
        <v>5.0109999999999998E-4</v>
      </c>
      <c r="E39">
        <f t="shared" si="0"/>
        <v>1.6703333333333332E-4</v>
      </c>
      <c r="F39">
        <f t="shared" si="1"/>
        <v>0.35794117039811418</v>
      </c>
      <c r="G39">
        <f t="shared" si="2"/>
        <v>0.12800233315244858</v>
      </c>
    </row>
    <row r="40" spans="1:7" x14ac:dyDescent="0.35">
      <c r="A40">
        <v>92.89</v>
      </c>
      <c r="B40">
        <v>0</v>
      </c>
      <c r="C40" s="1">
        <v>4.7889999999999997E-5</v>
      </c>
      <c r="D40">
        <v>3.4610000000000001E-4</v>
      </c>
      <c r="E40">
        <f t="shared" si="0"/>
        <v>1.3133E-4</v>
      </c>
      <c r="F40">
        <f t="shared" si="1"/>
        <v>0.35793670703147162</v>
      </c>
      <c r="G40">
        <f t="shared" si="2"/>
        <v>0.12802468783263357</v>
      </c>
    </row>
    <row r="41" spans="1:7" x14ac:dyDescent="0.35">
      <c r="A41">
        <v>108</v>
      </c>
      <c r="B41">
        <v>0</v>
      </c>
      <c r="C41">
        <v>1.4569999999999999E-4</v>
      </c>
      <c r="D41">
        <v>1.474E-4</v>
      </c>
      <c r="E41">
        <f t="shared" si="0"/>
        <v>9.7700000000000003E-5</v>
      </c>
      <c r="F41">
        <f t="shared" si="1"/>
        <v>0.3579325029027306</v>
      </c>
      <c r="G41">
        <f t="shared" si="2"/>
        <v>0.12804574616843606</v>
      </c>
    </row>
    <row r="42" spans="1:7" x14ac:dyDescent="0.35">
      <c r="A42">
        <v>125.6</v>
      </c>
      <c r="B42" s="1">
        <v>1.137E-5</v>
      </c>
      <c r="C42">
        <v>1.7650000000000001E-4</v>
      </c>
      <c r="D42" s="1">
        <v>3.7910000000000001E-5</v>
      </c>
      <c r="E42">
        <f t="shared" si="0"/>
        <v>7.5259999999999994E-5</v>
      </c>
      <c r="F42">
        <f t="shared" si="1"/>
        <v>0.35792969767434968</v>
      </c>
      <c r="G42">
        <f t="shared" si="2"/>
        <v>0.128059798563225</v>
      </c>
    </row>
    <row r="43" spans="1:7" x14ac:dyDescent="0.35">
      <c r="A43">
        <v>146.1</v>
      </c>
      <c r="B43" s="1">
        <v>2.673E-5</v>
      </c>
      <c r="C43">
        <v>1.089E-4</v>
      </c>
      <c r="D43" s="1">
        <v>4.4839999999999998E-6</v>
      </c>
      <c r="E43">
        <f t="shared" si="0"/>
        <v>4.6704666666666667E-5</v>
      </c>
      <c r="F43">
        <f t="shared" si="1"/>
        <v>0.35792612799523227</v>
      </c>
      <c r="G43">
        <f t="shared" si="2"/>
        <v>0.12807768164198666</v>
      </c>
    </row>
    <row r="44" spans="1:7" x14ac:dyDescent="0.35">
      <c r="A44">
        <v>169.9</v>
      </c>
      <c r="B44" s="1">
        <v>2.1359999999999999E-5</v>
      </c>
      <c r="C44" s="1">
        <v>3.15E-5</v>
      </c>
      <c r="D44">
        <v>0</v>
      </c>
      <c r="E44">
        <f t="shared" si="0"/>
        <v>1.7620000000000001E-5</v>
      </c>
      <c r="F44">
        <f t="shared" si="1"/>
        <v>0.35792249217701166</v>
      </c>
      <c r="G44">
        <f t="shared" si="2"/>
        <v>0.12809589752804307</v>
      </c>
    </row>
    <row r="45" spans="1:7" x14ac:dyDescent="0.35">
      <c r="A45">
        <v>197.6</v>
      </c>
      <c r="B45" s="1">
        <v>8.8659999999999995E-6</v>
      </c>
      <c r="C45" s="1">
        <v>1.3349999999999999E-6</v>
      </c>
      <c r="D45">
        <v>0</v>
      </c>
      <c r="E45">
        <f t="shared" si="0"/>
        <v>3.4003333333333333E-6</v>
      </c>
      <c r="F45">
        <f t="shared" si="1"/>
        <v>0.35792071461575159</v>
      </c>
      <c r="G45">
        <f t="shared" si="2"/>
        <v>0.12810480386313935</v>
      </c>
    </row>
    <row r="46" spans="1:7" x14ac:dyDescent="0.35">
      <c r="A46">
        <v>229.8</v>
      </c>
      <c r="B46" s="1">
        <v>4.0380000000000001E-6</v>
      </c>
      <c r="C46">
        <v>0</v>
      </c>
      <c r="D46">
        <v>0</v>
      </c>
      <c r="E46">
        <f t="shared" si="0"/>
        <v>1.3460000000000001E-6</v>
      </c>
      <c r="F46">
        <f t="shared" si="1"/>
        <v>0.35792045780986192</v>
      </c>
      <c r="G46">
        <f t="shared" si="2"/>
        <v>0.12810609059876044</v>
      </c>
    </row>
    <row r="47" spans="1:7" x14ac:dyDescent="0.35">
      <c r="A47">
        <v>267.2</v>
      </c>
      <c r="B47" s="1">
        <v>1.466E-6</v>
      </c>
      <c r="C47">
        <v>0</v>
      </c>
      <c r="D47">
        <v>0</v>
      </c>
      <c r="E47">
        <f t="shared" si="0"/>
        <v>4.8866666666666667E-7</v>
      </c>
      <c r="F47">
        <f t="shared" si="1"/>
        <v>0.35792035063730743</v>
      </c>
      <c r="G47">
        <f t="shared" si="2"/>
        <v>0.12810662759308253</v>
      </c>
    </row>
    <row r="48" spans="1:7" x14ac:dyDescent="0.35">
      <c r="A48">
        <v>310.7</v>
      </c>
      <c r="B48" s="1">
        <v>3.2080000000000001E-7</v>
      </c>
      <c r="C48">
        <v>0</v>
      </c>
      <c r="D48">
        <v>0</v>
      </c>
      <c r="E48">
        <f t="shared" si="0"/>
        <v>1.0693333333333334E-7</v>
      </c>
      <c r="F48">
        <f t="shared" si="1"/>
        <v>0.35792030291802873</v>
      </c>
      <c r="G48">
        <f t="shared" si="2"/>
        <v>0.12810686669372276</v>
      </c>
    </row>
    <row r="49" spans="1:7" x14ac:dyDescent="0.35">
      <c r="A49">
        <v>361.3</v>
      </c>
      <c r="B49" s="1">
        <v>1.831E-8</v>
      </c>
      <c r="C49">
        <v>0</v>
      </c>
      <c r="D49">
        <v>0</v>
      </c>
      <c r="E49">
        <f t="shared" si="0"/>
        <v>6.1033333333333336E-9</v>
      </c>
      <c r="F49">
        <f t="shared" si="1"/>
        <v>0.35792029031358963</v>
      </c>
      <c r="G49">
        <f t="shared" si="2"/>
        <v>0.12810692984915065</v>
      </c>
    </row>
    <row r="50" spans="1:7" x14ac:dyDescent="0.3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F50">
        <f t="shared" si="1"/>
        <v>0.35792028955063093</v>
      </c>
      <c r="G50">
        <f t="shared" si="2"/>
        <v>0.12810693367200748</v>
      </c>
    </row>
    <row r="51" spans="1:7" x14ac:dyDescent="0.3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F51">
        <f t="shared" si="1"/>
        <v>0.35792028955063093</v>
      </c>
      <c r="G51">
        <f t="shared" si="2"/>
        <v>0.12810693367200748</v>
      </c>
    </row>
    <row r="52" spans="1:7" x14ac:dyDescent="0.3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0.35792028955063093</v>
      </c>
      <c r="G52">
        <f t="shared" si="2"/>
        <v>0.12810693367200748</v>
      </c>
    </row>
    <row r="53" spans="1:7" x14ac:dyDescent="0.3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F53">
        <f t="shared" si="1"/>
        <v>0.35792028955063093</v>
      </c>
      <c r="G53">
        <f t="shared" si="2"/>
        <v>0.12810693367200748</v>
      </c>
    </row>
    <row r="54" spans="1:7" x14ac:dyDescent="0.3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0.35792028955063093</v>
      </c>
      <c r="G54">
        <f t="shared" si="2"/>
        <v>0.12810693367200748</v>
      </c>
    </row>
    <row r="55" spans="1:7" x14ac:dyDescent="0.3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F55">
        <f t="shared" si="1"/>
        <v>0.35792028955063093</v>
      </c>
      <c r="G55">
        <f t="shared" si="2"/>
        <v>0.12810693367200748</v>
      </c>
    </row>
    <row r="56" spans="1:7" x14ac:dyDescent="0.3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0.35792028955063093</v>
      </c>
      <c r="G56">
        <f t="shared" si="2"/>
        <v>0.12810693367200748</v>
      </c>
    </row>
    <row r="57" spans="1:7" x14ac:dyDescent="0.3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0.35792028955063093</v>
      </c>
      <c r="G57">
        <f t="shared" si="2"/>
        <v>0.12810693367200748</v>
      </c>
    </row>
    <row r="58" spans="1:7" x14ac:dyDescent="0.3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F58">
        <f t="shared" si="1"/>
        <v>0.35792028955063093</v>
      </c>
      <c r="G58">
        <f t="shared" si="2"/>
        <v>0.12810693367200748</v>
      </c>
    </row>
    <row r="59" spans="1:7" x14ac:dyDescent="0.3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F59">
        <f t="shared" si="1"/>
        <v>0.35792028955063093</v>
      </c>
      <c r="G59">
        <f t="shared" si="2"/>
        <v>0.12810693367200748</v>
      </c>
    </row>
    <row r="60" spans="1:7" x14ac:dyDescent="0.3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F60">
        <f t="shared" si="1"/>
        <v>0.35792028955063093</v>
      </c>
      <c r="G60">
        <f t="shared" si="2"/>
        <v>0.12810693367200748</v>
      </c>
    </row>
    <row r="61" spans="1:7" x14ac:dyDescent="0.3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F61">
        <f t="shared" si="1"/>
        <v>0.35792028955063093</v>
      </c>
      <c r="G61">
        <f t="shared" si="2"/>
        <v>0.12810693367200748</v>
      </c>
    </row>
    <row r="62" spans="1:7" x14ac:dyDescent="0.3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F62">
        <f t="shared" si="1"/>
        <v>0.35792028955063093</v>
      </c>
      <c r="G62">
        <f t="shared" si="2"/>
        <v>0.12810693367200748</v>
      </c>
    </row>
    <row r="63" spans="1:7" x14ac:dyDescent="0.3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F63">
        <f t="shared" si="1"/>
        <v>0.35792028955063093</v>
      </c>
      <c r="G63">
        <f t="shared" si="2"/>
        <v>0.12810693367200748</v>
      </c>
    </row>
    <row r="64" spans="1:7" x14ac:dyDescent="0.3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F64">
        <f t="shared" si="1"/>
        <v>0.35792028955063093</v>
      </c>
      <c r="G64">
        <f t="shared" si="2"/>
        <v>0.12810693367200748</v>
      </c>
    </row>
    <row r="65" spans="1:7" x14ac:dyDescent="0.3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0.35792028955063093</v>
      </c>
      <c r="G65">
        <f t="shared" si="2"/>
        <v>0.12810693367200748</v>
      </c>
    </row>
    <row r="66" spans="1:7" x14ac:dyDescent="0.3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F66">
        <f t="shared" si="1"/>
        <v>0.35792028955063093</v>
      </c>
      <c r="G66">
        <f t="shared" si="2"/>
        <v>0.12810693367200748</v>
      </c>
    </row>
    <row r="67" spans="1:7" x14ac:dyDescent="0.35">
      <c r="A67">
        <v>5468</v>
      </c>
      <c r="B67">
        <v>0</v>
      </c>
      <c r="C67">
        <v>0</v>
      </c>
      <c r="D67">
        <v>0</v>
      </c>
      <c r="E67">
        <f t="shared" ref="E67:E71" si="3">AVERAGE(B67:D67)</f>
        <v>0</v>
      </c>
      <c r="F67">
        <f t="shared" ref="F67:F71" si="4">$L$2*EXP(-((E67-$L$3)^2)/(2*$L$4^2))</f>
        <v>0.35792028955063093</v>
      </c>
      <c r="G67">
        <f t="shared" ref="G67:G71" si="5">(E67-F67)^2</f>
        <v>0.12810693367200748</v>
      </c>
    </row>
    <row r="68" spans="1:7" x14ac:dyDescent="0.35">
      <c r="A68">
        <v>6358</v>
      </c>
      <c r="B68">
        <v>0</v>
      </c>
      <c r="C68">
        <v>0</v>
      </c>
      <c r="D68">
        <v>0</v>
      </c>
      <c r="E68">
        <f t="shared" si="3"/>
        <v>0</v>
      </c>
      <c r="F68">
        <f t="shared" si="4"/>
        <v>0.35792028955063093</v>
      </c>
      <c r="G68">
        <f t="shared" si="5"/>
        <v>0.12810693367200748</v>
      </c>
    </row>
    <row r="69" spans="1:7" x14ac:dyDescent="0.35">
      <c r="A69">
        <v>7394</v>
      </c>
      <c r="B69">
        <v>0</v>
      </c>
      <c r="C69">
        <v>0</v>
      </c>
      <c r="D69">
        <v>0</v>
      </c>
      <c r="E69">
        <f t="shared" si="3"/>
        <v>0</v>
      </c>
      <c r="F69">
        <f t="shared" si="4"/>
        <v>0.35792028955063093</v>
      </c>
      <c r="G69">
        <f t="shared" si="5"/>
        <v>0.12810693367200748</v>
      </c>
    </row>
    <row r="70" spans="1:7" x14ac:dyDescent="0.35">
      <c r="A70">
        <v>8599</v>
      </c>
      <c r="B70">
        <v>0</v>
      </c>
      <c r="C70">
        <v>0</v>
      </c>
      <c r="D70">
        <v>0</v>
      </c>
      <c r="E70">
        <f t="shared" si="3"/>
        <v>0</v>
      </c>
      <c r="F70">
        <f t="shared" si="4"/>
        <v>0.35792028955063093</v>
      </c>
      <c r="G70">
        <f t="shared" si="5"/>
        <v>0.12810693367200748</v>
      </c>
    </row>
    <row r="71" spans="1:7" x14ac:dyDescent="0.35">
      <c r="A71" s="1">
        <v>10000</v>
      </c>
      <c r="B71">
        <v>0</v>
      </c>
      <c r="C71">
        <v>0</v>
      </c>
      <c r="D71">
        <v>0</v>
      </c>
      <c r="E71">
        <f t="shared" si="3"/>
        <v>0</v>
      </c>
      <c r="F71">
        <f t="shared" si="4"/>
        <v>0.35792028955063093</v>
      </c>
      <c r="G71">
        <f t="shared" si="5"/>
        <v>0.12810693367200748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2022-487D-47C6-A410-E18BD6443056}">
  <dimension ref="A1:L71"/>
  <sheetViews>
    <sheetView tabSelected="1" topLeftCell="A2" workbookViewId="0">
      <selection activeCell="Q9" sqref="Q9"/>
    </sheetView>
  </sheetViews>
  <sheetFormatPr baseColWidth="10" defaultRowHeight="14.5" x14ac:dyDescent="0.35"/>
  <sheetData>
    <row r="1" spans="1:12" x14ac:dyDescent="0.35">
      <c r="A1" t="s">
        <v>0</v>
      </c>
      <c r="B1" t="s">
        <v>9</v>
      </c>
      <c r="C1" t="s">
        <v>8</v>
      </c>
      <c r="D1" t="s">
        <v>10</v>
      </c>
      <c r="E1" t="s">
        <v>26</v>
      </c>
      <c r="F1" t="s">
        <v>37</v>
      </c>
      <c r="G1" t="s">
        <v>38</v>
      </c>
      <c r="H1" t="s">
        <v>39</v>
      </c>
      <c r="I1" t="s">
        <v>40</v>
      </c>
      <c r="K1" s="3" t="s">
        <v>21</v>
      </c>
    </row>
    <row r="2" spans="1:12" x14ac:dyDescent="0.3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0.56173565702520578</v>
      </c>
      <c r="H2">
        <f>(E2-F2)^2</f>
        <v>0.31554694837353964</v>
      </c>
      <c r="K2" s="2" t="s">
        <v>19</v>
      </c>
      <c r="L2">
        <v>25.10176033862648</v>
      </c>
    </row>
    <row r="3" spans="1:12" x14ac:dyDescent="0.3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G36" si="1">$L$2*EXP(-((E3-$L$3)^2)/(2*$L$4^2))</f>
        <v>0.56173565702520578</v>
      </c>
      <c r="H3">
        <f t="shared" ref="H3:H66" si="2">(E3-F3)^2</f>
        <v>0.31554694837353964</v>
      </c>
      <c r="K3" s="2" t="s">
        <v>17</v>
      </c>
      <c r="L3">
        <v>25.020771483526975</v>
      </c>
    </row>
    <row r="4" spans="1:12" x14ac:dyDescent="0.3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0.56173565702520578</v>
      </c>
      <c r="H4">
        <f t="shared" si="2"/>
        <v>0.31554694837353964</v>
      </c>
      <c r="K4" s="2" t="s">
        <v>20</v>
      </c>
      <c r="L4">
        <v>9.0763915510971209</v>
      </c>
    </row>
    <row r="5" spans="1:12" x14ac:dyDescent="0.3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0.56173565702520578</v>
      </c>
      <c r="H5">
        <f t="shared" si="2"/>
        <v>0.31554694837353964</v>
      </c>
      <c r="K5" s="2" t="s">
        <v>25</v>
      </c>
      <c r="L5">
        <f>SUM(H2:H71)</f>
        <v>59.675111061871739</v>
      </c>
    </row>
    <row r="6" spans="1:12" x14ac:dyDescent="0.3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0.56173565702520578</v>
      </c>
      <c r="H6">
        <f t="shared" si="2"/>
        <v>0.31554694837353964</v>
      </c>
    </row>
    <row r="7" spans="1:12" x14ac:dyDescent="0.3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0.56173565702520578</v>
      </c>
      <c r="H7">
        <f t="shared" si="2"/>
        <v>0.31554694837353964</v>
      </c>
      <c r="K7" s="3" t="s">
        <v>22</v>
      </c>
    </row>
    <row r="8" spans="1:12" x14ac:dyDescent="0.3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0.56173565702520578</v>
      </c>
      <c r="H8">
        <f t="shared" si="2"/>
        <v>0.31554694837353964</v>
      </c>
      <c r="K8" s="2" t="s">
        <v>19</v>
      </c>
      <c r="L8">
        <v>10.260275784103213</v>
      </c>
    </row>
    <row r="9" spans="1:12" x14ac:dyDescent="0.3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0.56173565702520578</v>
      </c>
      <c r="H9">
        <f t="shared" si="2"/>
        <v>0.31554694837353964</v>
      </c>
      <c r="K9" s="2" t="s">
        <v>17</v>
      </c>
      <c r="L9">
        <v>7.4999204143599192</v>
      </c>
    </row>
    <row r="10" spans="1:12" x14ac:dyDescent="0.3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0.56173565702520578</v>
      </c>
      <c r="H10">
        <f t="shared" si="2"/>
        <v>0.31554694837353964</v>
      </c>
      <c r="K10" s="2" t="s">
        <v>20</v>
      </c>
      <c r="L10">
        <v>2.00010912741803</v>
      </c>
    </row>
    <row r="11" spans="1:12" x14ac:dyDescent="0.3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0.56173565702520578</v>
      </c>
      <c r="H11">
        <f t="shared" si="2"/>
        <v>0.31554694837353964</v>
      </c>
      <c r="K11" s="2" t="s">
        <v>25</v>
      </c>
      <c r="L11">
        <f>SUM(I35:I71)</f>
        <v>0.68530633142958841</v>
      </c>
    </row>
    <row r="12" spans="1:12" x14ac:dyDescent="0.3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0.56173565702520578</v>
      </c>
      <c r="H12">
        <f t="shared" si="2"/>
        <v>0.31554694837353964</v>
      </c>
    </row>
    <row r="13" spans="1:12" x14ac:dyDescent="0.3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0.56173565702520578</v>
      </c>
      <c r="H13">
        <f t="shared" si="2"/>
        <v>0.31554694837353964</v>
      </c>
    </row>
    <row r="14" spans="1:12" x14ac:dyDescent="0.3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0.56173565702520578</v>
      </c>
      <c r="H14">
        <f t="shared" si="2"/>
        <v>0.31554694837353964</v>
      </c>
    </row>
    <row r="15" spans="1:12" x14ac:dyDescent="0.3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0.56173565702520578</v>
      </c>
      <c r="H15">
        <f t="shared" si="2"/>
        <v>0.31554694837353964</v>
      </c>
    </row>
    <row r="16" spans="1:12" x14ac:dyDescent="0.3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0.56173565702520578</v>
      </c>
      <c r="H16">
        <f t="shared" si="2"/>
        <v>0.31554694837353964</v>
      </c>
    </row>
    <row r="17" spans="1:8" x14ac:dyDescent="0.3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0.56173565702520578</v>
      </c>
      <c r="H17">
        <f t="shared" si="2"/>
        <v>0.31554694837353964</v>
      </c>
    </row>
    <row r="18" spans="1:8" x14ac:dyDescent="0.3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0.56173565702520578</v>
      </c>
      <c r="H18">
        <f t="shared" si="2"/>
        <v>0.31554694837353964</v>
      </c>
    </row>
    <row r="19" spans="1:8" x14ac:dyDescent="0.3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0.56173565702520578</v>
      </c>
      <c r="H19">
        <f t="shared" si="2"/>
        <v>0.31554694837353964</v>
      </c>
    </row>
    <row r="20" spans="1:8" x14ac:dyDescent="0.3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0.56173565702520578</v>
      </c>
      <c r="H20">
        <f t="shared" si="2"/>
        <v>0.31554694837353964</v>
      </c>
    </row>
    <row r="21" spans="1:8" x14ac:dyDescent="0.3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0.56173565702520578</v>
      </c>
      <c r="H21">
        <f t="shared" si="2"/>
        <v>0.31554694837353964</v>
      </c>
    </row>
    <row r="22" spans="1:8" x14ac:dyDescent="0.3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0.56173565702520578</v>
      </c>
      <c r="H22">
        <f t="shared" si="2"/>
        <v>0.31554694837353964</v>
      </c>
    </row>
    <row r="23" spans="1:8" x14ac:dyDescent="0.3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0.56173565702520578</v>
      </c>
      <c r="H23">
        <f t="shared" si="2"/>
        <v>0.31554694837353964</v>
      </c>
    </row>
    <row r="24" spans="1:8" x14ac:dyDescent="0.35">
      <c r="A24">
        <v>8.3019999999999996</v>
      </c>
      <c r="B24">
        <v>0</v>
      </c>
      <c r="C24">
        <v>0</v>
      </c>
      <c r="D24">
        <v>6.54</v>
      </c>
      <c r="E24">
        <f t="shared" si="0"/>
        <v>2.1800000000000002</v>
      </c>
      <c r="F24">
        <f t="shared" si="1"/>
        <v>1.0581720508665431</v>
      </c>
      <c r="H24">
        <f t="shared" si="2"/>
        <v>1.2584979474569784</v>
      </c>
    </row>
    <row r="25" spans="1:8" x14ac:dyDescent="0.35">
      <c r="A25">
        <v>9.6549999999999994</v>
      </c>
      <c r="B25">
        <v>3.6</v>
      </c>
      <c r="C25">
        <v>4.6970000000000001</v>
      </c>
      <c r="D25">
        <v>22.09</v>
      </c>
      <c r="E25">
        <f t="shared" si="0"/>
        <v>10.129</v>
      </c>
      <c r="F25">
        <f t="shared" si="1"/>
        <v>6.5336462493866998</v>
      </c>
      <c r="H25">
        <f t="shared" si="2"/>
        <v>12.926568592049122</v>
      </c>
    </row>
    <row r="26" spans="1:8" x14ac:dyDescent="0.35">
      <c r="A26">
        <v>11.23</v>
      </c>
      <c r="B26">
        <v>13.84</v>
      </c>
      <c r="C26">
        <v>19.149999999999999</v>
      </c>
      <c r="D26">
        <v>30.92</v>
      </c>
      <c r="E26">
        <f t="shared" si="0"/>
        <v>21.303333333333331</v>
      </c>
      <c r="F26">
        <f t="shared" si="1"/>
        <v>23.082234695976908</v>
      </c>
      <c r="H26">
        <f t="shared" si="2"/>
        <v>3.1644900580151742</v>
      </c>
    </row>
    <row r="27" spans="1:8" x14ac:dyDescent="0.35">
      <c r="A27">
        <v>13.06</v>
      </c>
      <c r="B27">
        <v>23.51</v>
      </c>
      <c r="C27">
        <v>31.86</v>
      </c>
      <c r="D27">
        <v>24.28</v>
      </c>
      <c r="E27">
        <f t="shared" si="0"/>
        <v>26.55</v>
      </c>
      <c r="F27">
        <f t="shared" si="1"/>
        <v>24.747995970530027</v>
      </c>
      <c r="H27">
        <f t="shared" si="2"/>
        <v>3.2472185222260204</v>
      </c>
    </row>
    <row r="28" spans="1:8" x14ac:dyDescent="0.35">
      <c r="A28">
        <v>15.18</v>
      </c>
      <c r="B28">
        <v>24.57</v>
      </c>
      <c r="C28">
        <v>27.82</v>
      </c>
      <c r="D28">
        <v>11.84</v>
      </c>
      <c r="E28">
        <f t="shared" si="0"/>
        <v>21.41</v>
      </c>
      <c r="F28">
        <f t="shared" si="1"/>
        <v>23.192003424435395</v>
      </c>
      <c r="H28">
        <f t="shared" si="2"/>
        <v>3.175536204699474</v>
      </c>
    </row>
    <row r="29" spans="1:8" x14ac:dyDescent="0.35">
      <c r="A29">
        <v>17.66</v>
      </c>
      <c r="B29">
        <v>18.36</v>
      </c>
      <c r="C29">
        <v>13.19</v>
      </c>
      <c r="D29">
        <v>3.3119999999999998</v>
      </c>
      <c r="E29">
        <f t="shared" si="0"/>
        <v>11.620666666666665</v>
      </c>
      <c r="F29">
        <f t="shared" si="1"/>
        <v>8.4410354797605187</v>
      </c>
      <c r="H29">
        <f t="shared" si="2"/>
        <v>10.110054484746188</v>
      </c>
    </row>
    <row r="30" spans="1:8" x14ac:dyDescent="0.35">
      <c r="A30">
        <v>20.53</v>
      </c>
      <c r="B30">
        <v>10.34</v>
      </c>
      <c r="C30">
        <v>2.819</v>
      </c>
      <c r="D30">
        <v>0.38159999999999999</v>
      </c>
      <c r="E30">
        <f t="shared" si="0"/>
        <v>4.5135333333333332</v>
      </c>
      <c r="F30">
        <f t="shared" si="1"/>
        <v>1.9551835344141446</v>
      </c>
      <c r="H30">
        <f t="shared" si="2"/>
        <v>6.5451536936298513</v>
      </c>
    </row>
    <row r="31" spans="1:8" x14ac:dyDescent="0.35">
      <c r="A31">
        <v>23.88</v>
      </c>
      <c r="B31">
        <v>4.3040000000000003</v>
      </c>
      <c r="C31">
        <v>3.143E-2</v>
      </c>
      <c r="D31">
        <v>0</v>
      </c>
      <c r="E31">
        <f t="shared" si="0"/>
        <v>1.4451433333333334</v>
      </c>
      <c r="F31">
        <f t="shared" si="1"/>
        <v>0.86029527299977437</v>
      </c>
      <c r="H31">
        <f t="shared" si="2"/>
        <v>0.34204725367592637</v>
      </c>
    </row>
    <row r="32" spans="1:8" x14ac:dyDescent="0.35">
      <c r="A32">
        <v>27.77</v>
      </c>
      <c r="B32">
        <v>1.19</v>
      </c>
      <c r="C32">
        <v>0</v>
      </c>
      <c r="D32">
        <v>0</v>
      </c>
      <c r="E32">
        <f t="shared" si="0"/>
        <v>0.39666666666666667</v>
      </c>
      <c r="F32">
        <f t="shared" si="1"/>
        <v>0.63305178964643571</v>
      </c>
      <c r="H32">
        <f t="shared" si="2"/>
        <v>5.5877926366160534E-2</v>
      </c>
    </row>
    <row r="33" spans="1:9" x14ac:dyDescent="0.35">
      <c r="A33">
        <v>32.299999999999997</v>
      </c>
      <c r="B33">
        <v>0.1623</v>
      </c>
      <c r="C33">
        <v>0</v>
      </c>
      <c r="D33">
        <v>0</v>
      </c>
      <c r="E33">
        <f t="shared" si="0"/>
        <v>5.4100000000000002E-2</v>
      </c>
      <c r="F33">
        <f t="shared" si="1"/>
        <v>0.57103179933156256</v>
      </c>
      <c r="H33">
        <f t="shared" si="2"/>
        <v>0.26721848516016683</v>
      </c>
    </row>
    <row r="34" spans="1:9" x14ac:dyDescent="0.35">
      <c r="A34">
        <v>37.56</v>
      </c>
      <c r="B34">
        <v>0</v>
      </c>
      <c r="C34">
        <v>0</v>
      </c>
      <c r="D34">
        <v>0</v>
      </c>
      <c r="E34">
        <f t="shared" si="0"/>
        <v>0</v>
      </c>
      <c r="F34">
        <f t="shared" si="1"/>
        <v>0.56173565702520578</v>
      </c>
      <c r="H34">
        <f t="shared" si="2"/>
        <v>0.31554694837353964</v>
      </c>
    </row>
    <row r="35" spans="1:9" x14ac:dyDescent="0.35">
      <c r="A35">
        <v>43.68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0.56173565702520578</v>
      </c>
      <c r="G35">
        <v>0.81797655999999996</v>
      </c>
      <c r="H35">
        <f t="shared" si="2"/>
        <v>0.31554694837353964</v>
      </c>
      <c r="I35">
        <f>(E35-G35)^2</f>
        <v>0.66908565270943354</v>
      </c>
    </row>
    <row r="36" spans="1:9" x14ac:dyDescent="0.35">
      <c r="A36">
        <v>50.79</v>
      </c>
      <c r="B36">
        <v>0</v>
      </c>
      <c r="C36">
        <v>0</v>
      </c>
      <c r="D36">
        <v>0</v>
      </c>
      <c r="E36">
        <f t="shared" si="0"/>
        <v>0</v>
      </c>
      <c r="F36">
        <f t="shared" ref="F36" si="3">$L$2*EXP(-((E36-$L$3)^2)/(2*$L$4^2))</f>
        <v>0.56173565702520578</v>
      </c>
      <c r="G36">
        <f>$L$8*EXP(-((E36-$L$9)^2)/(2*$L$10^2))</f>
        <v>9.07661606666927E-3</v>
      </c>
      <c r="H36">
        <f t="shared" si="2"/>
        <v>0.31554694837353964</v>
      </c>
      <c r="I36">
        <f t="shared" ref="I36:I71" si="4">(E36-G36)^2</f>
        <v>8.2384959221718727E-5</v>
      </c>
    </row>
    <row r="37" spans="1:9" x14ac:dyDescent="0.35">
      <c r="A37">
        <v>59.07</v>
      </c>
      <c r="B37">
        <v>0</v>
      </c>
      <c r="C37">
        <v>0</v>
      </c>
      <c r="D37">
        <v>2.733E-2</v>
      </c>
      <c r="E37">
        <f t="shared" si="0"/>
        <v>9.11E-3</v>
      </c>
      <c r="F37">
        <f t="shared" ref="F37" si="5">$L$2*EXP(-((E37-$L$3)^2)/(2*$L$4^2))</f>
        <v>0.56329178891449838</v>
      </c>
      <c r="G37">
        <f t="shared" ref="G37:G71" si="6">$L$8*EXP(-((E37-$L$9)^2)/(2*$L$10^2))</f>
        <v>9.2328730700285307E-3</v>
      </c>
      <c r="H37">
        <f t="shared" si="2"/>
        <v>0.3071174551644737</v>
      </c>
      <c r="I37">
        <f t="shared" si="4"/>
        <v>1.5097791338236191E-8</v>
      </c>
    </row>
    <row r="38" spans="1:9" x14ac:dyDescent="0.35">
      <c r="A38">
        <v>68.69</v>
      </c>
      <c r="B38">
        <v>0</v>
      </c>
      <c r="C38">
        <v>0</v>
      </c>
      <c r="D38">
        <v>0.1065</v>
      </c>
      <c r="E38">
        <f t="shared" si="0"/>
        <v>3.5499999999999997E-2</v>
      </c>
      <c r="F38">
        <f t="shared" ref="F38" si="7">$L$2*EXP(-((E38-$L$3)^2)/(2*$L$4^2))</f>
        <v>0.56782076281105842</v>
      </c>
      <c r="G38">
        <f t="shared" si="6"/>
        <v>9.6997339739119184E-3</v>
      </c>
      <c r="H38">
        <f t="shared" si="2"/>
        <v>0.28336539451974713</v>
      </c>
      <c r="I38">
        <f t="shared" si="4"/>
        <v>6.6565372701691476E-4</v>
      </c>
    </row>
    <row r="39" spans="1:9" x14ac:dyDescent="0.35">
      <c r="A39">
        <v>79.88</v>
      </c>
      <c r="B39">
        <v>0</v>
      </c>
      <c r="C39">
        <v>0</v>
      </c>
      <c r="D39">
        <v>0.17810000000000001</v>
      </c>
      <c r="E39">
        <f t="shared" si="0"/>
        <v>5.9366666666666672E-2</v>
      </c>
      <c r="F39">
        <f t="shared" ref="F39" si="8">$L$2*EXP(-((E39-$L$3)^2)/(2*$L$4^2))</f>
        <v>0.57194387553304482</v>
      </c>
      <c r="G39">
        <f t="shared" si="6"/>
        <v>1.0140731279896129E-2</v>
      </c>
      <c r="H39">
        <f t="shared" si="2"/>
        <v>0.26273539504924665</v>
      </c>
      <c r="I39">
        <f t="shared" si="4"/>
        <v>2.4231927147025083E-3</v>
      </c>
    </row>
    <row r="40" spans="1:9" x14ac:dyDescent="0.35">
      <c r="A40">
        <v>92.89</v>
      </c>
      <c r="B40">
        <v>0</v>
      </c>
      <c r="C40">
        <v>2.5100000000000001E-2</v>
      </c>
      <c r="D40">
        <v>0.1714</v>
      </c>
      <c r="E40">
        <f t="shared" si="0"/>
        <v>6.5500000000000003E-2</v>
      </c>
      <c r="F40">
        <f t="shared" ref="F40" si="9">$L$2*EXP(-((E40-$L$3)^2)/(2*$L$4^2))</f>
        <v>0.57300763333947957</v>
      </c>
      <c r="G40">
        <f t="shared" si="6"/>
        <v>1.0257026842856815E-2</v>
      </c>
      <c r="H40">
        <f t="shared" si="2"/>
        <v>0.25756399789783962</v>
      </c>
      <c r="I40">
        <f t="shared" si="4"/>
        <v>3.0517860832408429E-3</v>
      </c>
    </row>
    <row r="41" spans="1:9" x14ac:dyDescent="0.35">
      <c r="A41">
        <v>108</v>
      </c>
      <c r="B41">
        <v>0</v>
      </c>
      <c r="C41">
        <v>9.1319999999999998E-2</v>
      </c>
      <c r="D41">
        <v>0.1038</v>
      </c>
      <c r="E41">
        <f t="shared" si="0"/>
        <v>6.5040000000000001E-2</v>
      </c>
      <c r="F41">
        <f t="shared" ref="F41" si="10">$L$2*EXP(-((E41-$L$3)^2)/(2*$L$4^2))</f>
        <v>0.57292779199594901</v>
      </c>
      <c r="G41">
        <f t="shared" si="6"/>
        <v>1.0248261944815004E-2</v>
      </c>
      <c r="H41">
        <f t="shared" si="2"/>
        <v>0.25795000925852041</v>
      </c>
      <c r="I41">
        <f t="shared" si="4"/>
        <v>3.0021345591080078E-3</v>
      </c>
    </row>
    <row r="42" spans="1:9" x14ac:dyDescent="0.35">
      <c r="A42">
        <v>125.6</v>
      </c>
      <c r="B42">
        <v>1.222E-2</v>
      </c>
      <c r="C42">
        <v>0.1447</v>
      </c>
      <c r="D42">
        <v>3.7530000000000001E-2</v>
      </c>
      <c r="E42">
        <f t="shared" si="0"/>
        <v>6.4816666666666675E-2</v>
      </c>
      <c r="F42">
        <f t="shared" ref="F42" si="11">$L$2*EXP(-((E42-$L$3)^2)/(2*$L$4^2))</f>
        <v>0.57288903192632723</v>
      </c>
      <c r="G42">
        <f t="shared" si="6"/>
        <v>1.0244009029226866E-2</v>
      </c>
      <c r="H42">
        <f t="shared" si="2"/>
        <v>0.25813752834054599</v>
      </c>
      <c r="I42">
        <f t="shared" si="4"/>
        <v>2.9781749616132171E-3</v>
      </c>
    </row>
    <row r="43" spans="1:9" x14ac:dyDescent="0.35">
      <c r="A43">
        <v>146.1</v>
      </c>
      <c r="B43">
        <v>3.1189999999999999E-2</v>
      </c>
      <c r="C43">
        <v>0.1186</v>
      </c>
      <c r="D43">
        <v>6.1479999999999998E-3</v>
      </c>
      <c r="E43">
        <f t="shared" si="0"/>
        <v>5.1979333333333329E-2</v>
      </c>
      <c r="F43">
        <f t="shared" ref="F43" si="12">$L$2*EXP(-((E43-$L$3)^2)/(2*$L$4^2))</f>
        <v>0.5706649009547492</v>
      </c>
      <c r="G43">
        <f t="shared" si="6"/>
        <v>1.000228262875107E-2</v>
      </c>
      <c r="H43">
        <f t="shared" si="2"/>
        <v>0.26903471805875034</v>
      </c>
      <c r="I43">
        <f t="shared" si="4"/>
        <v>1.7620727858550695E-3</v>
      </c>
    </row>
    <row r="44" spans="1:9" x14ac:dyDescent="0.35">
      <c r="A44">
        <v>169.9</v>
      </c>
      <c r="B44">
        <v>3.1029999999999999E-2</v>
      </c>
      <c r="C44">
        <v>4.2810000000000001E-2</v>
      </c>
      <c r="D44">
        <v>0</v>
      </c>
      <c r="E44">
        <f t="shared" si="0"/>
        <v>2.4613333333333334E-2</v>
      </c>
      <c r="F44">
        <f t="shared" ref="F44" si="13">$L$2*EXP(-((E44-$L$3)^2)/(2*$L$4^2))</f>
        <v>0.56594860916196887</v>
      </c>
      <c r="G44">
        <f t="shared" si="6"/>
        <v>9.5045458912942186E-3</v>
      </c>
      <c r="H44">
        <f t="shared" si="2"/>
        <v>0.29304388085646488</v>
      </c>
      <c r="I44">
        <f t="shared" si="4"/>
        <v>2.2827545796871889E-4</v>
      </c>
    </row>
    <row r="45" spans="1:9" x14ac:dyDescent="0.35">
      <c r="A45">
        <v>197.6</v>
      </c>
      <c r="B45">
        <v>2.104E-2</v>
      </c>
      <c r="C45">
        <v>2.7209999999999999E-3</v>
      </c>
      <c r="D45">
        <v>0</v>
      </c>
      <c r="E45">
        <f t="shared" si="0"/>
        <v>7.920333333333333E-3</v>
      </c>
      <c r="F45">
        <f t="shared" ref="F45" si="14">$L$2*EXP(-((E45-$L$3)^2)/(2*$L$4^2))</f>
        <v>0.56308836279875663</v>
      </c>
      <c r="G45">
        <f t="shared" si="6"/>
        <v>9.212326733869073E-3</v>
      </c>
      <c r="H45">
        <f t="shared" si="2"/>
        <v>0.30821154094052111</v>
      </c>
      <c r="I45">
        <f t="shared" si="4"/>
        <v>1.6692469470279051E-6</v>
      </c>
    </row>
    <row r="46" spans="1:9" x14ac:dyDescent="0.35">
      <c r="A46">
        <v>229.8</v>
      </c>
      <c r="B46">
        <v>1.452E-2</v>
      </c>
      <c r="C46">
        <v>0</v>
      </c>
      <c r="D46">
        <v>0</v>
      </c>
      <c r="E46">
        <f t="shared" si="0"/>
        <v>4.8399999999999997E-3</v>
      </c>
      <c r="F46">
        <f t="shared" ref="F46" si="15">$L$2*EXP(-((E46-$L$3)^2)/(2*$L$4^2))</f>
        <v>0.56256194001854265</v>
      </c>
      <c r="G46">
        <f t="shared" si="6"/>
        <v>9.1593244764092314E-3</v>
      </c>
      <c r="H46">
        <f t="shared" si="2"/>
        <v>0.31105376237804694</v>
      </c>
      <c r="I46">
        <f t="shared" si="4"/>
        <v>1.8656563932507885E-5</v>
      </c>
    </row>
    <row r="47" spans="1:9" x14ac:dyDescent="0.35">
      <c r="A47">
        <v>267.2</v>
      </c>
      <c r="B47">
        <v>7.6030000000000004E-3</v>
      </c>
      <c r="C47">
        <v>0</v>
      </c>
      <c r="D47">
        <v>0</v>
      </c>
      <c r="E47">
        <f t="shared" si="0"/>
        <v>2.5343333333333333E-3</v>
      </c>
      <c r="F47">
        <f t="shared" ref="F47" si="16">$L$2*EXP(-((E47-$L$3)^2)/(2*$L$4^2))</f>
        <v>0.56216818592484474</v>
      </c>
      <c r="G47">
        <f t="shared" si="6"/>
        <v>9.1198371408553087E-3</v>
      </c>
      <c r="H47">
        <f t="shared" si="2"/>
        <v>0.31319004896641756</v>
      </c>
      <c r="I47">
        <f t="shared" si="4"/>
        <v>4.3368860398886444E-5</v>
      </c>
    </row>
    <row r="48" spans="1:9" x14ac:dyDescent="0.35">
      <c r="A48">
        <v>310.7</v>
      </c>
      <c r="B48">
        <v>2.2469999999999999E-3</v>
      </c>
      <c r="C48">
        <v>0</v>
      </c>
      <c r="D48">
        <v>0</v>
      </c>
      <c r="E48">
        <f t="shared" si="0"/>
        <v>7.4899999999999999E-4</v>
      </c>
      <c r="F48">
        <f t="shared" ref="F48" si="17">$L$2*EXP(-((E48-$L$3)^2)/(2*$L$4^2))</f>
        <v>0.56186345705604734</v>
      </c>
      <c r="G48">
        <f t="shared" si="6"/>
        <v>9.0893698286668833E-3</v>
      </c>
      <c r="H48">
        <f t="shared" si="2"/>
        <v>0.3148494339173028</v>
      </c>
      <c r="I48">
        <f t="shared" si="4"/>
        <v>6.9561768878936858E-5</v>
      </c>
    </row>
    <row r="49" spans="1:9" x14ac:dyDescent="0.35">
      <c r="A49">
        <v>361.3</v>
      </c>
      <c r="B49">
        <v>1.8929999999999999E-4</v>
      </c>
      <c r="C49">
        <v>0</v>
      </c>
      <c r="D49">
        <v>0</v>
      </c>
      <c r="E49">
        <f t="shared" si="0"/>
        <v>6.3100000000000002E-5</v>
      </c>
      <c r="F49">
        <f t="shared" ref="F49" si="18">$L$2*EXP(-((E49-$L$3)^2)/(2*$L$4^2))</f>
        <v>0.56174642264941932</v>
      </c>
      <c r="G49">
        <f t="shared" si="6"/>
        <v>9.0776898742300494E-3</v>
      </c>
      <c r="H49">
        <f t="shared" si="2"/>
        <v>0.31548815494249172</v>
      </c>
      <c r="I49">
        <f t="shared" si="4"/>
        <v>8.1262830600570943E-5</v>
      </c>
    </row>
    <row r="50" spans="1:9" x14ac:dyDescent="0.3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F50">
        <f t="shared" ref="F50" si="19">$L$2*EXP(-((E50-$L$3)^2)/(2*$L$4^2))</f>
        <v>0.56173565702520578</v>
      </c>
      <c r="G50">
        <f t="shared" si="6"/>
        <v>9.07661606666927E-3</v>
      </c>
      <c r="H50">
        <f t="shared" si="2"/>
        <v>0.31554694837353964</v>
      </c>
      <c r="I50">
        <f t="shared" si="4"/>
        <v>8.2384959221718727E-5</v>
      </c>
    </row>
    <row r="51" spans="1:9" x14ac:dyDescent="0.3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F51">
        <f t="shared" ref="F51" si="20">$L$2*EXP(-((E51-$L$3)^2)/(2*$L$4^2))</f>
        <v>0.56173565702520578</v>
      </c>
      <c r="G51">
        <f t="shared" si="6"/>
        <v>9.07661606666927E-3</v>
      </c>
      <c r="H51">
        <f t="shared" si="2"/>
        <v>0.31554694837353964</v>
      </c>
      <c r="I51">
        <f t="shared" si="4"/>
        <v>8.2384959221718727E-5</v>
      </c>
    </row>
    <row r="52" spans="1:9" x14ac:dyDescent="0.3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F52">
        <f t="shared" ref="F52" si="21">$L$2*EXP(-((E52-$L$3)^2)/(2*$L$4^2))</f>
        <v>0.56173565702520578</v>
      </c>
      <c r="G52">
        <f t="shared" si="6"/>
        <v>9.07661606666927E-3</v>
      </c>
      <c r="H52">
        <f t="shared" si="2"/>
        <v>0.31554694837353964</v>
      </c>
      <c r="I52">
        <f t="shared" si="4"/>
        <v>8.2384959221718727E-5</v>
      </c>
    </row>
    <row r="53" spans="1:9" x14ac:dyDescent="0.3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F53">
        <f t="shared" ref="F53" si="22">$L$2*EXP(-((E53-$L$3)^2)/(2*$L$4^2))</f>
        <v>0.56173565702520578</v>
      </c>
      <c r="G53">
        <f t="shared" si="6"/>
        <v>9.07661606666927E-3</v>
      </c>
      <c r="H53">
        <f t="shared" si="2"/>
        <v>0.31554694837353964</v>
      </c>
      <c r="I53">
        <f t="shared" si="4"/>
        <v>8.2384959221718727E-5</v>
      </c>
    </row>
    <row r="54" spans="1:9" x14ac:dyDescent="0.3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F54">
        <f t="shared" ref="F54" si="23">$L$2*EXP(-((E54-$L$3)^2)/(2*$L$4^2))</f>
        <v>0.56173565702520578</v>
      </c>
      <c r="G54">
        <f t="shared" si="6"/>
        <v>9.07661606666927E-3</v>
      </c>
      <c r="H54">
        <f t="shared" si="2"/>
        <v>0.31554694837353964</v>
      </c>
      <c r="I54">
        <f t="shared" si="4"/>
        <v>8.2384959221718727E-5</v>
      </c>
    </row>
    <row r="55" spans="1:9" x14ac:dyDescent="0.3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F55">
        <f t="shared" ref="F55" si="24">$L$2*EXP(-((E55-$L$3)^2)/(2*$L$4^2))</f>
        <v>0.56173565702520578</v>
      </c>
      <c r="G55">
        <f t="shared" si="6"/>
        <v>9.07661606666927E-3</v>
      </c>
      <c r="H55">
        <f t="shared" si="2"/>
        <v>0.31554694837353964</v>
      </c>
      <c r="I55">
        <f t="shared" si="4"/>
        <v>8.2384959221718727E-5</v>
      </c>
    </row>
    <row r="56" spans="1:9" x14ac:dyDescent="0.3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F56">
        <f t="shared" ref="F56" si="25">$L$2*EXP(-((E56-$L$3)^2)/(2*$L$4^2))</f>
        <v>0.56173565702520578</v>
      </c>
      <c r="G56">
        <f t="shared" si="6"/>
        <v>9.07661606666927E-3</v>
      </c>
      <c r="H56">
        <f t="shared" si="2"/>
        <v>0.31554694837353964</v>
      </c>
      <c r="I56">
        <f t="shared" si="4"/>
        <v>8.2384959221718727E-5</v>
      </c>
    </row>
    <row r="57" spans="1:9" x14ac:dyDescent="0.3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F57">
        <f t="shared" ref="F57" si="26">$L$2*EXP(-((E57-$L$3)^2)/(2*$L$4^2))</f>
        <v>0.56173565702520578</v>
      </c>
      <c r="G57">
        <f t="shared" si="6"/>
        <v>9.07661606666927E-3</v>
      </c>
      <c r="H57">
        <f t="shared" si="2"/>
        <v>0.31554694837353964</v>
      </c>
      <c r="I57">
        <f t="shared" si="4"/>
        <v>8.2384959221718727E-5</v>
      </c>
    </row>
    <row r="58" spans="1:9" x14ac:dyDescent="0.3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F58">
        <f t="shared" ref="F58" si="27">$L$2*EXP(-((E58-$L$3)^2)/(2*$L$4^2))</f>
        <v>0.56173565702520578</v>
      </c>
      <c r="G58">
        <f t="shared" si="6"/>
        <v>9.07661606666927E-3</v>
      </c>
      <c r="H58">
        <f t="shared" si="2"/>
        <v>0.31554694837353964</v>
      </c>
      <c r="I58">
        <f t="shared" si="4"/>
        <v>8.2384959221718727E-5</v>
      </c>
    </row>
    <row r="59" spans="1:9" x14ac:dyDescent="0.3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F59">
        <f t="shared" ref="F59" si="28">$L$2*EXP(-((E59-$L$3)^2)/(2*$L$4^2))</f>
        <v>0.56173565702520578</v>
      </c>
      <c r="G59">
        <f t="shared" si="6"/>
        <v>9.07661606666927E-3</v>
      </c>
      <c r="H59">
        <f t="shared" si="2"/>
        <v>0.31554694837353964</v>
      </c>
      <c r="I59">
        <f t="shared" si="4"/>
        <v>8.2384959221718727E-5</v>
      </c>
    </row>
    <row r="60" spans="1:9" x14ac:dyDescent="0.3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F60">
        <f t="shared" ref="F60" si="29">$L$2*EXP(-((E60-$L$3)^2)/(2*$L$4^2))</f>
        <v>0.56173565702520578</v>
      </c>
      <c r="G60">
        <f t="shared" si="6"/>
        <v>9.07661606666927E-3</v>
      </c>
      <c r="H60">
        <f t="shared" si="2"/>
        <v>0.31554694837353964</v>
      </c>
      <c r="I60">
        <f t="shared" si="4"/>
        <v>8.2384959221718727E-5</v>
      </c>
    </row>
    <row r="61" spans="1:9" x14ac:dyDescent="0.3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F61">
        <f t="shared" ref="F61" si="30">$L$2*EXP(-((E61-$L$3)^2)/(2*$L$4^2))</f>
        <v>0.56173565702520578</v>
      </c>
      <c r="G61">
        <f t="shared" si="6"/>
        <v>9.07661606666927E-3</v>
      </c>
      <c r="H61">
        <f t="shared" si="2"/>
        <v>0.31554694837353964</v>
      </c>
      <c r="I61">
        <f t="shared" si="4"/>
        <v>8.2384959221718727E-5</v>
      </c>
    </row>
    <row r="62" spans="1:9" x14ac:dyDescent="0.3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F62">
        <f t="shared" ref="F62" si="31">$L$2*EXP(-((E62-$L$3)^2)/(2*$L$4^2))</f>
        <v>0.56173565702520578</v>
      </c>
      <c r="G62">
        <f t="shared" si="6"/>
        <v>9.07661606666927E-3</v>
      </c>
      <c r="H62">
        <f t="shared" si="2"/>
        <v>0.31554694837353964</v>
      </c>
      <c r="I62">
        <f t="shared" si="4"/>
        <v>8.2384959221718727E-5</v>
      </c>
    </row>
    <row r="63" spans="1:9" x14ac:dyDescent="0.3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F63">
        <f t="shared" ref="F63" si="32">$L$2*EXP(-((E63-$L$3)^2)/(2*$L$4^2))</f>
        <v>0.56173565702520578</v>
      </c>
      <c r="G63">
        <f t="shared" si="6"/>
        <v>9.07661606666927E-3</v>
      </c>
      <c r="H63">
        <f t="shared" si="2"/>
        <v>0.31554694837353964</v>
      </c>
      <c r="I63">
        <f t="shared" si="4"/>
        <v>8.2384959221718727E-5</v>
      </c>
    </row>
    <row r="64" spans="1:9" x14ac:dyDescent="0.3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F64">
        <f t="shared" ref="F64" si="33">$L$2*EXP(-((E64-$L$3)^2)/(2*$L$4^2))</f>
        <v>0.56173565702520578</v>
      </c>
      <c r="G64">
        <f t="shared" si="6"/>
        <v>9.07661606666927E-3</v>
      </c>
      <c r="H64">
        <f t="shared" si="2"/>
        <v>0.31554694837353964</v>
      </c>
      <c r="I64">
        <f t="shared" si="4"/>
        <v>8.2384959221718727E-5</v>
      </c>
    </row>
    <row r="65" spans="1:9" x14ac:dyDescent="0.3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F65">
        <f t="shared" ref="F65" si="34">$L$2*EXP(-((E65-$L$3)^2)/(2*$L$4^2))</f>
        <v>0.56173565702520578</v>
      </c>
      <c r="G65">
        <f t="shared" si="6"/>
        <v>9.07661606666927E-3</v>
      </c>
      <c r="H65">
        <f t="shared" si="2"/>
        <v>0.31554694837353964</v>
      </c>
      <c r="I65">
        <f t="shared" si="4"/>
        <v>8.2384959221718727E-5</v>
      </c>
    </row>
    <row r="66" spans="1:9" x14ac:dyDescent="0.3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F66">
        <f t="shared" ref="F66" si="35">$L$2*EXP(-((E66-$L$3)^2)/(2*$L$4^2))</f>
        <v>0.56173565702520578</v>
      </c>
      <c r="G66">
        <f t="shared" si="6"/>
        <v>9.07661606666927E-3</v>
      </c>
      <c r="H66">
        <f t="shared" si="2"/>
        <v>0.31554694837353964</v>
      </c>
      <c r="I66">
        <f t="shared" si="4"/>
        <v>8.2384959221718727E-5</v>
      </c>
    </row>
    <row r="67" spans="1:9" x14ac:dyDescent="0.35">
      <c r="A67">
        <v>5468</v>
      </c>
      <c r="B67">
        <v>0</v>
      </c>
      <c r="C67">
        <v>0</v>
      </c>
      <c r="D67">
        <v>0</v>
      </c>
      <c r="E67">
        <f t="shared" ref="E67:E71" si="36">AVERAGE(B67:D67)</f>
        <v>0</v>
      </c>
      <c r="F67">
        <f t="shared" ref="F67" si="37">$L$2*EXP(-((E67-$L$3)^2)/(2*$L$4^2))</f>
        <v>0.56173565702520578</v>
      </c>
      <c r="G67">
        <f t="shared" si="6"/>
        <v>9.07661606666927E-3</v>
      </c>
      <c r="H67">
        <f t="shared" ref="H67:H71" si="38">(E67-F67)^2</f>
        <v>0.31554694837353964</v>
      </c>
      <c r="I67">
        <f t="shared" si="4"/>
        <v>8.2384959221718727E-5</v>
      </c>
    </row>
    <row r="68" spans="1:9" x14ac:dyDescent="0.35">
      <c r="A68">
        <v>6358</v>
      </c>
      <c r="B68">
        <v>0</v>
      </c>
      <c r="C68">
        <v>0</v>
      </c>
      <c r="D68">
        <v>0</v>
      </c>
      <c r="E68">
        <f t="shared" si="36"/>
        <v>0</v>
      </c>
      <c r="F68">
        <f t="shared" ref="F68" si="39">$L$2*EXP(-((E68-$L$3)^2)/(2*$L$4^2))</f>
        <v>0.56173565702520578</v>
      </c>
      <c r="G68">
        <f t="shared" si="6"/>
        <v>9.07661606666927E-3</v>
      </c>
      <c r="H68">
        <f t="shared" si="38"/>
        <v>0.31554694837353964</v>
      </c>
      <c r="I68">
        <f t="shared" si="4"/>
        <v>8.2384959221718727E-5</v>
      </c>
    </row>
    <row r="69" spans="1:9" x14ac:dyDescent="0.35">
      <c r="A69">
        <v>7394</v>
      </c>
      <c r="B69">
        <v>0</v>
      </c>
      <c r="C69">
        <v>0</v>
      </c>
      <c r="D69">
        <v>0</v>
      </c>
      <c r="E69">
        <f t="shared" si="36"/>
        <v>0</v>
      </c>
      <c r="F69">
        <f t="shared" ref="F69" si="40">$L$2*EXP(-((E69-$L$3)^2)/(2*$L$4^2))</f>
        <v>0.56173565702520578</v>
      </c>
      <c r="G69">
        <f t="shared" si="6"/>
        <v>9.07661606666927E-3</v>
      </c>
      <c r="H69">
        <f t="shared" si="38"/>
        <v>0.31554694837353964</v>
      </c>
      <c r="I69">
        <f t="shared" si="4"/>
        <v>8.2384959221718727E-5</v>
      </c>
    </row>
    <row r="70" spans="1:9" x14ac:dyDescent="0.35">
      <c r="A70">
        <v>8599</v>
      </c>
      <c r="B70">
        <v>0</v>
      </c>
      <c r="C70">
        <v>0</v>
      </c>
      <c r="D70">
        <v>0</v>
      </c>
      <c r="E70">
        <f t="shared" si="36"/>
        <v>0</v>
      </c>
      <c r="F70">
        <f t="shared" ref="F70" si="41">$L$2*EXP(-((E70-$L$3)^2)/(2*$L$4^2))</f>
        <v>0.56173565702520578</v>
      </c>
      <c r="G70">
        <f t="shared" si="6"/>
        <v>9.07661606666927E-3</v>
      </c>
      <c r="H70">
        <f t="shared" si="38"/>
        <v>0.31554694837353964</v>
      </c>
      <c r="I70">
        <f t="shared" si="4"/>
        <v>8.2384959221718727E-5</v>
      </c>
    </row>
    <row r="71" spans="1:9" x14ac:dyDescent="0.35">
      <c r="A71" s="1">
        <v>10000</v>
      </c>
      <c r="B71">
        <v>0</v>
      </c>
      <c r="C71">
        <v>0</v>
      </c>
      <c r="D71">
        <v>0</v>
      </c>
      <c r="E71">
        <f t="shared" si="36"/>
        <v>0</v>
      </c>
      <c r="F71">
        <f t="shared" ref="F71" si="42">$L$2*EXP(-((E71-$L$3)^2)/(2*$L$4^2))</f>
        <v>0.56173565702520578</v>
      </c>
      <c r="G71">
        <f t="shared" si="6"/>
        <v>9.07661606666927E-3</v>
      </c>
      <c r="H71">
        <f t="shared" si="38"/>
        <v>0.31554694837353964</v>
      </c>
      <c r="I71">
        <f t="shared" si="4"/>
        <v>8.2384959221718727E-5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4BA2-B231-4713-A8D9-2F991C12835B}">
  <dimension ref="A1:J491"/>
  <sheetViews>
    <sheetView workbookViewId="0">
      <selection activeCell="R10" sqref="R10"/>
    </sheetView>
  </sheetViews>
  <sheetFormatPr baseColWidth="10" defaultRowHeight="14.5" x14ac:dyDescent="0.35"/>
  <cols>
    <col min="1" max="2" width="11" bestFit="1" customWidth="1"/>
  </cols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26</v>
      </c>
      <c r="F1" t="s">
        <v>27</v>
      </c>
      <c r="G1" t="s">
        <v>28</v>
      </c>
      <c r="I1" s="3" t="s">
        <v>29</v>
      </c>
    </row>
    <row r="2" spans="1:10" x14ac:dyDescent="0.35">
      <c r="A2">
        <v>8.7499999999999994E-2</v>
      </c>
      <c r="B2">
        <v>0.57589999999999997</v>
      </c>
      <c r="C2">
        <v>0.53310000000000002</v>
      </c>
      <c r="D2">
        <v>0.2676</v>
      </c>
      <c r="E2">
        <f>AVERAGE(B2:D2)</f>
        <v>0.4588666666666667</v>
      </c>
      <c r="F2">
        <f>$J$2+$J$3*E2+$J$4*E2^2+$J$5*E2^3+$J$6*E2^4+$J$7*E2^5+$J$8*E2^6</f>
        <v>0</v>
      </c>
      <c r="G2">
        <f>(E2-F2)^2</f>
        <v>0.21055861777777782</v>
      </c>
      <c r="I2" s="2" t="s">
        <v>19</v>
      </c>
      <c r="J2">
        <v>0</v>
      </c>
    </row>
    <row r="3" spans="1:10" x14ac:dyDescent="0.35">
      <c r="A3">
        <v>0.1</v>
      </c>
      <c r="B3">
        <v>0.55820000000000003</v>
      </c>
      <c r="C3">
        <v>0.52410000000000001</v>
      </c>
      <c r="D3">
        <v>0.26490000000000002</v>
      </c>
      <c r="E3">
        <f t="shared" ref="E3:E66" si="0">AVERAGE(B3:D3)</f>
        <v>0.44906666666666667</v>
      </c>
      <c r="F3">
        <f t="shared" ref="F3:F66" si="1">$J$2+$J$3*E3+$J$4*E3^2+$J$5*E3^3+$J$6*E3^4+$J$7*E3^5+$J$8*E3^6</f>
        <v>0</v>
      </c>
      <c r="G3">
        <f t="shared" ref="G3:G66" si="2">(E3-F3)^2</f>
        <v>0.20166087111111111</v>
      </c>
      <c r="I3" s="2" t="s">
        <v>30</v>
      </c>
      <c r="J3">
        <v>0</v>
      </c>
    </row>
    <row r="4" spans="1:10" x14ac:dyDescent="0.35">
      <c r="A4">
        <v>0.1125</v>
      </c>
      <c r="B4">
        <v>0.54659999999999997</v>
      </c>
      <c r="C4">
        <v>0.51790000000000003</v>
      </c>
      <c r="D4">
        <v>0.26090000000000002</v>
      </c>
      <c r="E4">
        <f t="shared" si="0"/>
        <v>0.44180000000000003</v>
      </c>
      <c r="F4">
        <f t="shared" si="1"/>
        <v>0</v>
      </c>
      <c r="G4">
        <f t="shared" si="2"/>
        <v>0.19518724000000001</v>
      </c>
      <c r="I4" s="2" t="s">
        <v>31</v>
      </c>
      <c r="J4">
        <v>0</v>
      </c>
    </row>
    <row r="5" spans="1:10" x14ac:dyDescent="0.35">
      <c r="A5">
        <v>0.125</v>
      </c>
      <c r="B5">
        <v>0.54430000000000001</v>
      </c>
      <c r="C5">
        <v>0.51349999999999996</v>
      </c>
      <c r="D5">
        <v>0.25790000000000002</v>
      </c>
      <c r="E5">
        <f t="shared" si="0"/>
        <v>0.4385666666666666</v>
      </c>
      <c r="F5">
        <f t="shared" si="1"/>
        <v>0</v>
      </c>
      <c r="G5">
        <f t="shared" si="2"/>
        <v>0.19234072111111106</v>
      </c>
      <c r="I5" s="2" t="s">
        <v>32</v>
      </c>
      <c r="J5">
        <v>0</v>
      </c>
    </row>
    <row r="6" spans="1:10" x14ac:dyDescent="0.35">
      <c r="A6">
        <v>0.13750000000000001</v>
      </c>
      <c r="B6">
        <v>0.53969999999999996</v>
      </c>
      <c r="C6">
        <v>0.50949999999999995</v>
      </c>
      <c r="D6">
        <v>0.25480000000000003</v>
      </c>
      <c r="E6">
        <f t="shared" si="0"/>
        <v>0.43466666666666659</v>
      </c>
      <c r="F6">
        <f t="shared" si="1"/>
        <v>0</v>
      </c>
      <c r="G6">
        <f t="shared" si="2"/>
        <v>0.18893511111111105</v>
      </c>
      <c r="I6" s="2" t="s">
        <v>33</v>
      </c>
      <c r="J6">
        <v>0</v>
      </c>
    </row>
    <row r="7" spans="1:10" x14ac:dyDescent="0.35">
      <c r="A7">
        <v>0.15</v>
      </c>
      <c r="B7">
        <v>0.53380000000000005</v>
      </c>
      <c r="C7">
        <v>0.50870000000000004</v>
      </c>
      <c r="D7">
        <v>0.254</v>
      </c>
      <c r="E7">
        <f t="shared" si="0"/>
        <v>0.43216666666666664</v>
      </c>
      <c r="F7">
        <f t="shared" si="1"/>
        <v>0</v>
      </c>
      <c r="G7">
        <f t="shared" si="2"/>
        <v>0.18676802777777776</v>
      </c>
      <c r="I7" s="2" t="s">
        <v>34</v>
      </c>
      <c r="J7">
        <v>0</v>
      </c>
    </row>
    <row r="8" spans="1:10" x14ac:dyDescent="0.35">
      <c r="A8">
        <v>0.16250000000000001</v>
      </c>
      <c r="B8">
        <v>0.5343</v>
      </c>
      <c r="C8">
        <v>0.50919999999999999</v>
      </c>
      <c r="D8">
        <v>0.25269999999999998</v>
      </c>
      <c r="E8">
        <f t="shared" si="0"/>
        <v>0.4320666666666666</v>
      </c>
      <c r="F8">
        <f t="shared" si="1"/>
        <v>0</v>
      </c>
      <c r="G8">
        <f t="shared" si="2"/>
        <v>0.1866816044444444</v>
      </c>
      <c r="I8" s="2" t="s">
        <v>35</v>
      </c>
      <c r="J8">
        <v>0</v>
      </c>
    </row>
    <row r="9" spans="1:10" x14ac:dyDescent="0.35">
      <c r="A9">
        <v>0.17499999999999999</v>
      </c>
      <c r="B9">
        <v>0.52900000000000003</v>
      </c>
      <c r="C9">
        <v>0.51060000000000005</v>
      </c>
      <c r="D9">
        <v>0.2545</v>
      </c>
      <c r="E9">
        <f t="shared" si="0"/>
        <v>0.43136666666666668</v>
      </c>
      <c r="F9">
        <f t="shared" si="1"/>
        <v>0</v>
      </c>
      <c r="G9">
        <f t="shared" si="2"/>
        <v>0.18607720111111112</v>
      </c>
      <c r="I9" s="2" t="s">
        <v>25</v>
      </c>
      <c r="J9">
        <f>SUM(G2:G491)</f>
        <v>23.958271335819756</v>
      </c>
    </row>
    <row r="10" spans="1:10" x14ac:dyDescent="0.35">
      <c r="A10">
        <v>0.1875</v>
      </c>
      <c r="B10">
        <v>0.52739999999999998</v>
      </c>
      <c r="C10">
        <v>0.5081</v>
      </c>
      <c r="D10">
        <v>0.25409999999999999</v>
      </c>
      <c r="E10">
        <f t="shared" si="0"/>
        <v>0.42986666666666662</v>
      </c>
      <c r="F10">
        <f t="shared" si="1"/>
        <v>0</v>
      </c>
      <c r="G10">
        <f t="shared" si="2"/>
        <v>0.18478535111111108</v>
      </c>
    </row>
    <row r="11" spans="1:10" x14ac:dyDescent="0.35">
      <c r="A11">
        <v>0.2</v>
      </c>
      <c r="B11">
        <v>0.51919999999999999</v>
      </c>
      <c r="C11">
        <v>0.50639999999999996</v>
      </c>
      <c r="D11">
        <v>0.25340000000000001</v>
      </c>
      <c r="E11">
        <f t="shared" si="0"/>
        <v>0.42633333333333329</v>
      </c>
      <c r="F11">
        <f t="shared" si="1"/>
        <v>0</v>
      </c>
      <c r="G11">
        <f t="shared" si="2"/>
        <v>0.18176011111111107</v>
      </c>
    </row>
    <row r="12" spans="1:10" x14ac:dyDescent="0.35">
      <c r="A12">
        <v>0.21249999999999999</v>
      </c>
      <c r="B12">
        <v>0.51929999999999998</v>
      </c>
      <c r="C12">
        <v>0.50539999999999996</v>
      </c>
      <c r="D12">
        <v>0.25069999999999998</v>
      </c>
      <c r="E12">
        <f t="shared" si="0"/>
        <v>0.42513333333333331</v>
      </c>
      <c r="F12">
        <f t="shared" si="1"/>
        <v>0</v>
      </c>
      <c r="G12">
        <f t="shared" si="2"/>
        <v>0.18073835111111108</v>
      </c>
    </row>
    <row r="13" spans="1:10" x14ac:dyDescent="0.35">
      <c r="A13">
        <v>0.22500000000000001</v>
      </c>
      <c r="B13">
        <v>0.51970000000000005</v>
      </c>
      <c r="C13">
        <v>0.505</v>
      </c>
      <c r="D13">
        <v>0.25130000000000002</v>
      </c>
      <c r="E13">
        <f t="shared" si="0"/>
        <v>0.4253333333333334</v>
      </c>
      <c r="F13">
        <f t="shared" si="1"/>
        <v>0</v>
      </c>
      <c r="G13">
        <f t="shared" si="2"/>
        <v>0.18090844444444451</v>
      </c>
    </row>
    <row r="14" spans="1:10" x14ac:dyDescent="0.35">
      <c r="A14">
        <v>0.23749999999999999</v>
      </c>
      <c r="B14">
        <v>0.51880000000000004</v>
      </c>
      <c r="C14">
        <v>0.50290000000000001</v>
      </c>
      <c r="D14">
        <v>0.25180000000000002</v>
      </c>
      <c r="E14">
        <f t="shared" si="0"/>
        <v>0.42450000000000004</v>
      </c>
      <c r="F14">
        <f t="shared" si="1"/>
        <v>0</v>
      </c>
      <c r="G14">
        <f t="shared" si="2"/>
        <v>0.18020025000000003</v>
      </c>
    </row>
    <row r="15" spans="1:10" x14ac:dyDescent="0.35">
      <c r="A15">
        <v>0.25</v>
      </c>
      <c r="B15">
        <v>0.51580000000000004</v>
      </c>
      <c r="C15">
        <v>0.50160000000000005</v>
      </c>
      <c r="D15">
        <v>0.253</v>
      </c>
      <c r="E15">
        <f t="shared" si="0"/>
        <v>0.42346666666666666</v>
      </c>
      <c r="F15">
        <f t="shared" si="1"/>
        <v>0</v>
      </c>
      <c r="G15">
        <f t="shared" si="2"/>
        <v>0.17932401777777776</v>
      </c>
    </row>
    <row r="16" spans="1:10" x14ac:dyDescent="0.35">
      <c r="A16">
        <v>0.26250000000000001</v>
      </c>
      <c r="B16">
        <v>0.51559999999999995</v>
      </c>
      <c r="C16">
        <v>0.49969999999999998</v>
      </c>
      <c r="D16">
        <v>0.25230000000000002</v>
      </c>
      <c r="E16">
        <f t="shared" si="0"/>
        <v>0.42253333333333326</v>
      </c>
      <c r="F16">
        <f t="shared" si="1"/>
        <v>0</v>
      </c>
      <c r="G16">
        <f t="shared" si="2"/>
        <v>0.1785344177777777</v>
      </c>
    </row>
    <row r="17" spans="1:7" x14ac:dyDescent="0.35">
      <c r="A17">
        <v>0.27500000000000002</v>
      </c>
      <c r="B17">
        <v>0.51619999999999999</v>
      </c>
      <c r="C17">
        <v>0.49840000000000001</v>
      </c>
      <c r="D17">
        <v>0.25119999999999998</v>
      </c>
      <c r="E17">
        <f t="shared" si="0"/>
        <v>0.42193333333333333</v>
      </c>
      <c r="F17">
        <f t="shared" si="1"/>
        <v>0</v>
      </c>
      <c r="G17">
        <f t="shared" si="2"/>
        <v>0.17802773777777778</v>
      </c>
    </row>
    <row r="18" spans="1:7" x14ac:dyDescent="0.35">
      <c r="A18">
        <v>0.28749999999999998</v>
      </c>
      <c r="B18">
        <v>0.51700000000000002</v>
      </c>
      <c r="C18">
        <v>0.49669999999999997</v>
      </c>
      <c r="D18">
        <v>0.249</v>
      </c>
      <c r="E18">
        <f t="shared" si="0"/>
        <v>0.42090000000000005</v>
      </c>
      <c r="F18">
        <f t="shared" si="1"/>
        <v>0</v>
      </c>
      <c r="G18">
        <f t="shared" si="2"/>
        <v>0.17715681000000005</v>
      </c>
    </row>
    <row r="19" spans="1:7" x14ac:dyDescent="0.35">
      <c r="A19">
        <v>0.3</v>
      </c>
      <c r="B19">
        <v>0.51490000000000002</v>
      </c>
      <c r="C19">
        <v>0.4945</v>
      </c>
      <c r="D19">
        <v>0.24859999999999999</v>
      </c>
      <c r="E19">
        <f t="shared" si="0"/>
        <v>0.41933333333333334</v>
      </c>
      <c r="F19">
        <f t="shared" si="1"/>
        <v>0</v>
      </c>
      <c r="G19">
        <f t="shared" si="2"/>
        <v>0.17584044444444444</v>
      </c>
    </row>
    <row r="20" spans="1:7" x14ac:dyDescent="0.35">
      <c r="A20">
        <v>0.3125</v>
      </c>
      <c r="B20">
        <v>0.51270000000000004</v>
      </c>
      <c r="C20">
        <v>0.49619999999999997</v>
      </c>
      <c r="D20">
        <v>0.24840000000000001</v>
      </c>
      <c r="E20">
        <f t="shared" si="0"/>
        <v>0.41910000000000003</v>
      </c>
      <c r="F20">
        <f t="shared" si="1"/>
        <v>0</v>
      </c>
      <c r="G20">
        <f t="shared" si="2"/>
        <v>0.17564481000000001</v>
      </c>
    </row>
    <row r="21" spans="1:7" x14ac:dyDescent="0.35">
      <c r="A21">
        <v>0.32500000000000001</v>
      </c>
      <c r="B21">
        <v>0.51449999999999996</v>
      </c>
      <c r="C21">
        <v>0.49769999999999998</v>
      </c>
      <c r="D21">
        <v>0.24909999999999999</v>
      </c>
      <c r="E21">
        <f t="shared" si="0"/>
        <v>0.42043333333333327</v>
      </c>
      <c r="F21">
        <f t="shared" si="1"/>
        <v>0</v>
      </c>
      <c r="G21">
        <f t="shared" si="2"/>
        <v>0.17676418777777772</v>
      </c>
    </row>
    <row r="22" spans="1:7" x14ac:dyDescent="0.35">
      <c r="A22">
        <v>0.33750000000000002</v>
      </c>
      <c r="B22">
        <v>0.51390000000000002</v>
      </c>
      <c r="C22">
        <v>0.49969999999999998</v>
      </c>
      <c r="D22">
        <v>0.24790000000000001</v>
      </c>
      <c r="E22">
        <f t="shared" si="0"/>
        <v>0.42050000000000004</v>
      </c>
      <c r="F22">
        <f t="shared" si="1"/>
        <v>0</v>
      </c>
      <c r="G22">
        <f t="shared" si="2"/>
        <v>0.17682025000000004</v>
      </c>
    </row>
    <row r="23" spans="1:7" x14ac:dyDescent="0.35">
      <c r="A23">
        <v>0.35</v>
      </c>
      <c r="B23">
        <v>0.51429999999999998</v>
      </c>
      <c r="C23">
        <v>0.49909999999999999</v>
      </c>
      <c r="D23">
        <v>0.2487</v>
      </c>
      <c r="E23">
        <f t="shared" si="0"/>
        <v>0.42069999999999991</v>
      </c>
      <c r="F23">
        <f t="shared" si="1"/>
        <v>0</v>
      </c>
      <c r="G23">
        <f t="shared" si="2"/>
        <v>0.17698848999999992</v>
      </c>
    </row>
    <row r="24" spans="1:7" x14ac:dyDescent="0.35">
      <c r="A24">
        <v>0.36249999999999999</v>
      </c>
      <c r="B24">
        <v>0.51049999999999995</v>
      </c>
      <c r="C24">
        <v>0.49769999999999998</v>
      </c>
      <c r="D24">
        <v>0.249</v>
      </c>
      <c r="E24">
        <f t="shared" si="0"/>
        <v>0.4190666666666667</v>
      </c>
      <c r="F24">
        <f t="shared" si="1"/>
        <v>0</v>
      </c>
      <c r="G24">
        <f t="shared" si="2"/>
        <v>0.17561687111111113</v>
      </c>
    </row>
    <row r="25" spans="1:7" x14ac:dyDescent="0.35">
      <c r="A25">
        <v>0.375</v>
      </c>
      <c r="B25">
        <v>0.50960000000000005</v>
      </c>
      <c r="C25">
        <v>0.49809999999999999</v>
      </c>
      <c r="D25">
        <v>0.24890000000000001</v>
      </c>
      <c r="E25">
        <f t="shared" si="0"/>
        <v>0.41886666666666672</v>
      </c>
      <c r="F25">
        <f t="shared" si="1"/>
        <v>0</v>
      </c>
      <c r="G25">
        <f t="shared" si="2"/>
        <v>0.17544928444444449</v>
      </c>
    </row>
    <row r="26" spans="1:7" x14ac:dyDescent="0.35">
      <c r="A26">
        <v>0.38750000000000001</v>
      </c>
      <c r="B26">
        <v>0.51139999999999997</v>
      </c>
      <c r="C26">
        <v>0.49619999999999997</v>
      </c>
      <c r="D26">
        <v>0.2487</v>
      </c>
      <c r="E26">
        <f t="shared" si="0"/>
        <v>0.41876666666666668</v>
      </c>
      <c r="F26">
        <f t="shared" si="1"/>
        <v>0</v>
      </c>
      <c r="G26">
        <f t="shared" si="2"/>
        <v>0.17536552111111112</v>
      </c>
    </row>
    <row r="27" spans="1:7" x14ac:dyDescent="0.35">
      <c r="A27">
        <v>0.4</v>
      </c>
      <c r="B27">
        <v>0.51300000000000001</v>
      </c>
      <c r="C27">
        <v>0.49630000000000002</v>
      </c>
      <c r="D27">
        <v>0.24740000000000001</v>
      </c>
      <c r="E27">
        <f t="shared" si="0"/>
        <v>0.41890000000000005</v>
      </c>
      <c r="F27">
        <f t="shared" si="1"/>
        <v>0</v>
      </c>
      <c r="G27">
        <f t="shared" si="2"/>
        <v>0.17547721000000005</v>
      </c>
    </row>
    <row r="28" spans="1:7" x14ac:dyDescent="0.35">
      <c r="A28">
        <v>0.42499999999999999</v>
      </c>
      <c r="B28">
        <v>0.51390000000000002</v>
      </c>
      <c r="C28">
        <v>0.4945</v>
      </c>
      <c r="D28">
        <v>0.24740000000000001</v>
      </c>
      <c r="E28">
        <f t="shared" si="0"/>
        <v>0.41860000000000003</v>
      </c>
      <c r="F28">
        <f t="shared" si="1"/>
        <v>0</v>
      </c>
      <c r="G28">
        <f t="shared" si="2"/>
        <v>0.17522596000000001</v>
      </c>
    </row>
    <row r="29" spans="1:7" x14ac:dyDescent="0.35">
      <c r="A29">
        <v>0.45</v>
      </c>
      <c r="B29">
        <v>0.51129999999999998</v>
      </c>
      <c r="C29">
        <v>0.49399999999999999</v>
      </c>
      <c r="D29">
        <v>0.2477</v>
      </c>
      <c r="E29">
        <f t="shared" si="0"/>
        <v>0.41766666666666669</v>
      </c>
      <c r="F29">
        <f t="shared" si="1"/>
        <v>0</v>
      </c>
      <c r="G29">
        <f t="shared" si="2"/>
        <v>0.17444544444444446</v>
      </c>
    </row>
    <row r="30" spans="1:7" x14ac:dyDescent="0.35">
      <c r="A30">
        <v>0.47499999999999998</v>
      </c>
      <c r="B30">
        <v>0.51049999999999995</v>
      </c>
      <c r="C30">
        <v>0.49509999999999998</v>
      </c>
      <c r="D30">
        <v>0.249</v>
      </c>
      <c r="E30">
        <f t="shared" si="0"/>
        <v>0.41819999999999996</v>
      </c>
      <c r="F30">
        <f t="shared" si="1"/>
        <v>0</v>
      </c>
      <c r="G30">
        <f t="shared" si="2"/>
        <v>0.17489123999999998</v>
      </c>
    </row>
    <row r="31" spans="1:7" x14ac:dyDescent="0.35">
      <c r="A31">
        <v>0.5</v>
      </c>
      <c r="B31">
        <v>0.50919999999999999</v>
      </c>
      <c r="C31">
        <v>0.49559999999999998</v>
      </c>
      <c r="D31">
        <v>0.24879999999999999</v>
      </c>
      <c r="E31">
        <f t="shared" si="0"/>
        <v>0.41786666666666661</v>
      </c>
      <c r="F31">
        <f t="shared" si="1"/>
        <v>0</v>
      </c>
      <c r="G31">
        <f t="shared" si="2"/>
        <v>0.17461255111111107</v>
      </c>
    </row>
    <row r="32" spans="1:7" x14ac:dyDescent="0.35">
      <c r="A32">
        <v>0.52500000000000002</v>
      </c>
      <c r="B32">
        <v>0.50939999999999996</v>
      </c>
      <c r="C32">
        <v>0.49540000000000001</v>
      </c>
      <c r="D32">
        <v>0.24690000000000001</v>
      </c>
      <c r="E32">
        <f t="shared" si="0"/>
        <v>0.41723333333333334</v>
      </c>
      <c r="F32">
        <f t="shared" si="1"/>
        <v>0</v>
      </c>
      <c r="G32">
        <f t="shared" si="2"/>
        <v>0.17408365444444446</v>
      </c>
    </row>
    <row r="33" spans="1:7" x14ac:dyDescent="0.35">
      <c r="A33">
        <v>0.55000000000000004</v>
      </c>
      <c r="B33">
        <v>0.5081</v>
      </c>
      <c r="C33">
        <v>0.49409999999999998</v>
      </c>
      <c r="D33">
        <v>0.24540000000000001</v>
      </c>
      <c r="E33">
        <f t="shared" si="0"/>
        <v>0.41586666666666666</v>
      </c>
      <c r="F33">
        <f t="shared" si="1"/>
        <v>0</v>
      </c>
      <c r="G33">
        <f t="shared" si="2"/>
        <v>0.17294508444444445</v>
      </c>
    </row>
    <row r="34" spans="1:7" x14ac:dyDescent="0.35">
      <c r="A34">
        <v>0.57499999999999996</v>
      </c>
      <c r="B34">
        <v>0.50770000000000004</v>
      </c>
      <c r="C34">
        <v>0.4929</v>
      </c>
      <c r="D34">
        <v>0.24540000000000001</v>
      </c>
      <c r="E34">
        <f t="shared" si="0"/>
        <v>0.41533333333333333</v>
      </c>
      <c r="F34">
        <f t="shared" si="1"/>
        <v>0</v>
      </c>
      <c r="G34">
        <f t="shared" si="2"/>
        <v>0.17250177777777778</v>
      </c>
    </row>
    <row r="35" spans="1:7" x14ac:dyDescent="0.35">
      <c r="A35">
        <v>0.6</v>
      </c>
      <c r="B35">
        <v>0.50749999999999995</v>
      </c>
      <c r="C35">
        <v>0.49380000000000002</v>
      </c>
      <c r="D35">
        <v>0.24460000000000001</v>
      </c>
      <c r="E35">
        <f t="shared" si="0"/>
        <v>0.4153</v>
      </c>
      <c r="F35">
        <f t="shared" si="1"/>
        <v>0</v>
      </c>
      <c r="G35">
        <f t="shared" si="2"/>
        <v>0.17247409</v>
      </c>
    </row>
    <row r="36" spans="1:7" x14ac:dyDescent="0.35">
      <c r="A36">
        <v>0.625</v>
      </c>
      <c r="B36">
        <v>0.50660000000000005</v>
      </c>
      <c r="C36">
        <v>0.49440000000000001</v>
      </c>
      <c r="D36">
        <v>0.24379999999999999</v>
      </c>
      <c r="E36">
        <f t="shared" si="0"/>
        <v>0.41493333333333338</v>
      </c>
      <c r="F36">
        <f t="shared" si="1"/>
        <v>0</v>
      </c>
      <c r="G36">
        <f t="shared" si="2"/>
        <v>0.17216967111111114</v>
      </c>
    </row>
    <row r="37" spans="1:7" x14ac:dyDescent="0.35">
      <c r="A37">
        <v>0.65</v>
      </c>
      <c r="B37">
        <v>0.5081</v>
      </c>
      <c r="C37">
        <v>0.4945</v>
      </c>
      <c r="D37">
        <v>0.2429</v>
      </c>
      <c r="E37">
        <f t="shared" si="0"/>
        <v>0.41516666666666663</v>
      </c>
      <c r="F37">
        <f t="shared" si="1"/>
        <v>0</v>
      </c>
      <c r="G37">
        <f t="shared" si="2"/>
        <v>0.17236336111111109</v>
      </c>
    </row>
    <row r="38" spans="1:7" x14ac:dyDescent="0.35">
      <c r="A38">
        <v>0.67500000000000004</v>
      </c>
      <c r="B38">
        <v>0.50539999999999996</v>
      </c>
      <c r="C38">
        <v>0.49430000000000002</v>
      </c>
      <c r="D38">
        <v>0.24249999999999999</v>
      </c>
      <c r="E38">
        <f t="shared" si="0"/>
        <v>0.41406666666666664</v>
      </c>
      <c r="F38">
        <f t="shared" si="1"/>
        <v>0</v>
      </c>
      <c r="G38">
        <f t="shared" si="2"/>
        <v>0.17145120444444442</v>
      </c>
    </row>
    <row r="39" spans="1:7" x14ac:dyDescent="0.35">
      <c r="A39">
        <v>0.7</v>
      </c>
      <c r="B39">
        <v>0.50590000000000002</v>
      </c>
      <c r="C39">
        <v>0.49440000000000001</v>
      </c>
      <c r="D39">
        <v>0.2429</v>
      </c>
      <c r="E39">
        <f t="shared" si="0"/>
        <v>0.41439999999999994</v>
      </c>
      <c r="F39">
        <f t="shared" si="1"/>
        <v>0</v>
      </c>
      <c r="G39">
        <f t="shared" si="2"/>
        <v>0.17172735999999994</v>
      </c>
    </row>
    <row r="40" spans="1:7" x14ac:dyDescent="0.35">
      <c r="A40">
        <v>0.72499999999999998</v>
      </c>
      <c r="B40">
        <v>0.50339999999999996</v>
      </c>
      <c r="C40">
        <v>0.49320000000000003</v>
      </c>
      <c r="D40">
        <v>0.24310000000000001</v>
      </c>
      <c r="E40">
        <f t="shared" si="0"/>
        <v>0.41323333333333334</v>
      </c>
      <c r="F40">
        <f t="shared" si="1"/>
        <v>0</v>
      </c>
      <c r="G40">
        <f t="shared" si="2"/>
        <v>0.17076178777777778</v>
      </c>
    </row>
    <row r="41" spans="1:7" x14ac:dyDescent="0.35">
      <c r="A41">
        <v>0.75</v>
      </c>
      <c r="B41">
        <v>0.50249999999999995</v>
      </c>
      <c r="C41">
        <v>0.4919</v>
      </c>
      <c r="D41">
        <v>0.2447</v>
      </c>
      <c r="E41">
        <f t="shared" si="0"/>
        <v>0.41303333333333331</v>
      </c>
      <c r="F41">
        <f t="shared" si="1"/>
        <v>0</v>
      </c>
      <c r="G41">
        <f t="shared" si="2"/>
        <v>0.17059653444444442</v>
      </c>
    </row>
    <row r="42" spans="1:7" x14ac:dyDescent="0.35">
      <c r="A42">
        <v>0.77500000000000002</v>
      </c>
      <c r="B42">
        <v>0.503</v>
      </c>
      <c r="C42">
        <v>0.49099999999999999</v>
      </c>
      <c r="D42">
        <v>0.24410000000000001</v>
      </c>
      <c r="E42">
        <f t="shared" si="0"/>
        <v>0.41270000000000001</v>
      </c>
      <c r="F42">
        <f t="shared" si="1"/>
        <v>0</v>
      </c>
      <c r="G42">
        <f t="shared" si="2"/>
        <v>0.17032129000000001</v>
      </c>
    </row>
    <row r="43" spans="1:7" x14ac:dyDescent="0.35">
      <c r="A43">
        <v>0.8</v>
      </c>
      <c r="B43">
        <v>0.50329999999999997</v>
      </c>
      <c r="C43">
        <v>0.49170000000000003</v>
      </c>
      <c r="D43">
        <v>0.2437</v>
      </c>
      <c r="E43">
        <f t="shared" si="0"/>
        <v>0.41289999999999999</v>
      </c>
      <c r="F43">
        <f t="shared" si="1"/>
        <v>0</v>
      </c>
      <c r="G43">
        <f t="shared" si="2"/>
        <v>0.17048641</v>
      </c>
    </row>
    <row r="44" spans="1:7" x14ac:dyDescent="0.35">
      <c r="A44">
        <v>0.85</v>
      </c>
      <c r="B44">
        <v>0.50480000000000003</v>
      </c>
      <c r="C44">
        <v>0.49030000000000001</v>
      </c>
      <c r="D44">
        <v>0.24199999999999999</v>
      </c>
      <c r="E44">
        <f t="shared" si="0"/>
        <v>0.41236666666666671</v>
      </c>
      <c r="F44">
        <f t="shared" si="1"/>
        <v>0</v>
      </c>
      <c r="G44">
        <f t="shared" si="2"/>
        <v>0.17004626777777782</v>
      </c>
    </row>
    <row r="45" spans="1:7" x14ac:dyDescent="0.35">
      <c r="A45">
        <v>0.9</v>
      </c>
      <c r="B45">
        <v>0.50339999999999996</v>
      </c>
      <c r="C45">
        <v>0.48820000000000002</v>
      </c>
      <c r="D45">
        <v>0.24199999999999999</v>
      </c>
      <c r="E45">
        <f t="shared" si="0"/>
        <v>0.41120000000000001</v>
      </c>
      <c r="F45">
        <f t="shared" si="1"/>
        <v>0</v>
      </c>
      <c r="G45">
        <f t="shared" si="2"/>
        <v>0.16908544</v>
      </c>
    </row>
    <row r="46" spans="1:7" x14ac:dyDescent="0.35">
      <c r="A46">
        <v>0.95</v>
      </c>
      <c r="B46">
        <v>0.50209999999999999</v>
      </c>
      <c r="C46">
        <v>0.48780000000000001</v>
      </c>
      <c r="D46">
        <v>0.2417</v>
      </c>
      <c r="E46">
        <f t="shared" si="0"/>
        <v>0.41053333333333336</v>
      </c>
      <c r="F46">
        <f t="shared" si="1"/>
        <v>0</v>
      </c>
      <c r="G46">
        <f t="shared" si="2"/>
        <v>0.16853761777777779</v>
      </c>
    </row>
    <row r="47" spans="1:7" x14ac:dyDescent="0.35">
      <c r="A47">
        <v>1</v>
      </c>
      <c r="B47">
        <v>0.50149999999999995</v>
      </c>
      <c r="C47">
        <v>0.48630000000000001</v>
      </c>
      <c r="D47">
        <v>0.2417</v>
      </c>
      <c r="E47">
        <f t="shared" si="0"/>
        <v>0.40983333333333333</v>
      </c>
      <c r="F47">
        <f t="shared" si="1"/>
        <v>0</v>
      </c>
      <c r="G47">
        <f t="shared" si="2"/>
        <v>0.1679633611111111</v>
      </c>
    </row>
    <row r="48" spans="1:7" x14ac:dyDescent="0.35">
      <c r="A48">
        <v>1.05</v>
      </c>
      <c r="B48">
        <v>0.49990000000000001</v>
      </c>
      <c r="C48">
        <v>0.48609999999999998</v>
      </c>
      <c r="D48">
        <v>0.24179999999999999</v>
      </c>
      <c r="E48">
        <f t="shared" si="0"/>
        <v>0.40926666666666667</v>
      </c>
      <c r="F48">
        <f t="shared" si="1"/>
        <v>0</v>
      </c>
      <c r="G48">
        <f t="shared" si="2"/>
        <v>0.16749920444444444</v>
      </c>
    </row>
    <row r="49" spans="1:7" x14ac:dyDescent="0.35">
      <c r="A49">
        <v>1.1000000000000001</v>
      </c>
      <c r="B49">
        <v>0.49840000000000001</v>
      </c>
      <c r="C49">
        <v>0.4849</v>
      </c>
      <c r="D49">
        <v>0.2422</v>
      </c>
      <c r="E49">
        <f t="shared" si="0"/>
        <v>0.40850000000000003</v>
      </c>
      <c r="F49">
        <f t="shared" si="1"/>
        <v>0</v>
      </c>
      <c r="G49">
        <f t="shared" si="2"/>
        <v>0.16687225000000003</v>
      </c>
    </row>
    <row r="50" spans="1:7" x14ac:dyDescent="0.35">
      <c r="A50">
        <v>1.1499999999999999</v>
      </c>
      <c r="B50">
        <v>0.496</v>
      </c>
      <c r="C50">
        <v>0.48459999999999998</v>
      </c>
      <c r="D50">
        <v>0.24210000000000001</v>
      </c>
      <c r="E50">
        <f t="shared" si="0"/>
        <v>0.40756666666666663</v>
      </c>
      <c r="F50">
        <f t="shared" si="1"/>
        <v>0</v>
      </c>
      <c r="G50">
        <f t="shared" si="2"/>
        <v>0.16611058777777776</v>
      </c>
    </row>
    <row r="51" spans="1:7" x14ac:dyDescent="0.35">
      <c r="A51">
        <v>1.2</v>
      </c>
      <c r="B51">
        <v>0.49540000000000001</v>
      </c>
      <c r="C51">
        <v>0.48580000000000001</v>
      </c>
      <c r="D51">
        <v>0.2419</v>
      </c>
      <c r="E51">
        <f t="shared" si="0"/>
        <v>0.40770000000000001</v>
      </c>
      <c r="F51">
        <f t="shared" si="1"/>
        <v>0</v>
      </c>
      <c r="G51">
        <f t="shared" si="2"/>
        <v>0.16621928999999999</v>
      </c>
    </row>
    <row r="52" spans="1:7" x14ac:dyDescent="0.35">
      <c r="A52">
        <v>1.25</v>
      </c>
      <c r="B52">
        <v>0.49509999999999998</v>
      </c>
      <c r="C52">
        <v>0.48459999999999998</v>
      </c>
      <c r="D52">
        <v>0.24110000000000001</v>
      </c>
      <c r="E52">
        <f t="shared" si="0"/>
        <v>0.40693333333333337</v>
      </c>
      <c r="F52">
        <f t="shared" si="1"/>
        <v>0</v>
      </c>
      <c r="G52">
        <f t="shared" si="2"/>
        <v>0.16559473777777781</v>
      </c>
    </row>
    <row r="53" spans="1:7" x14ac:dyDescent="0.35">
      <c r="A53">
        <v>1.3</v>
      </c>
      <c r="B53">
        <v>0.49519999999999997</v>
      </c>
      <c r="C53">
        <v>0.48409999999999997</v>
      </c>
      <c r="D53">
        <v>0.2407</v>
      </c>
      <c r="E53">
        <f t="shared" si="0"/>
        <v>0.40666666666666668</v>
      </c>
      <c r="F53">
        <f t="shared" si="1"/>
        <v>0</v>
      </c>
      <c r="G53">
        <f t="shared" si="2"/>
        <v>0.16537777777777779</v>
      </c>
    </row>
    <row r="54" spans="1:7" x14ac:dyDescent="0.35">
      <c r="A54">
        <v>1.35</v>
      </c>
      <c r="B54">
        <v>0.49469999999999997</v>
      </c>
      <c r="C54">
        <v>0.48220000000000002</v>
      </c>
      <c r="D54">
        <v>0.2402</v>
      </c>
      <c r="E54">
        <f t="shared" si="0"/>
        <v>0.40570000000000001</v>
      </c>
      <c r="F54">
        <f t="shared" si="1"/>
        <v>0</v>
      </c>
      <c r="G54">
        <f t="shared" si="2"/>
        <v>0.16459249000000001</v>
      </c>
    </row>
    <row r="55" spans="1:7" x14ac:dyDescent="0.35">
      <c r="A55">
        <v>1.4</v>
      </c>
      <c r="B55">
        <v>0.49619999999999997</v>
      </c>
      <c r="C55">
        <v>0.4824</v>
      </c>
      <c r="D55">
        <v>0.2397</v>
      </c>
      <c r="E55">
        <f t="shared" si="0"/>
        <v>0.40609999999999996</v>
      </c>
      <c r="F55">
        <f t="shared" si="1"/>
        <v>0</v>
      </c>
      <c r="G55">
        <f t="shared" si="2"/>
        <v>0.16491720999999998</v>
      </c>
    </row>
    <row r="56" spans="1:7" x14ac:dyDescent="0.35">
      <c r="A56">
        <v>1.45</v>
      </c>
      <c r="B56">
        <v>0.49490000000000001</v>
      </c>
      <c r="C56">
        <v>0.48270000000000002</v>
      </c>
      <c r="D56">
        <v>0.24030000000000001</v>
      </c>
      <c r="E56">
        <f t="shared" si="0"/>
        <v>0.40596666666666664</v>
      </c>
      <c r="F56">
        <f t="shared" si="1"/>
        <v>0</v>
      </c>
      <c r="G56">
        <f t="shared" si="2"/>
        <v>0.16480893444444442</v>
      </c>
    </row>
    <row r="57" spans="1:7" x14ac:dyDescent="0.35">
      <c r="A57">
        <v>1.5</v>
      </c>
      <c r="B57">
        <v>0.49409999999999998</v>
      </c>
      <c r="C57">
        <v>0.4834</v>
      </c>
      <c r="D57">
        <v>0.24060000000000001</v>
      </c>
      <c r="E57">
        <f t="shared" si="0"/>
        <v>0.4060333333333333</v>
      </c>
      <c r="F57">
        <f t="shared" si="1"/>
        <v>0</v>
      </c>
      <c r="G57">
        <f t="shared" si="2"/>
        <v>0.16486306777777776</v>
      </c>
    </row>
    <row r="58" spans="1:7" x14ac:dyDescent="0.35">
      <c r="A58">
        <v>1.55</v>
      </c>
      <c r="B58">
        <v>0.4904</v>
      </c>
      <c r="C58">
        <v>0.48370000000000002</v>
      </c>
      <c r="D58">
        <v>0.24099999999999999</v>
      </c>
      <c r="E58">
        <f t="shared" si="0"/>
        <v>0.40503333333333336</v>
      </c>
      <c r="F58">
        <f t="shared" si="1"/>
        <v>0</v>
      </c>
      <c r="G58">
        <f t="shared" si="2"/>
        <v>0.16405200111111112</v>
      </c>
    </row>
    <row r="59" spans="1:7" x14ac:dyDescent="0.35">
      <c r="A59">
        <v>1.6</v>
      </c>
      <c r="B59">
        <v>0.4909</v>
      </c>
      <c r="C59">
        <v>0.48320000000000002</v>
      </c>
      <c r="D59">
        <v>0.24030000000000001</v>
      </c>
      <c r="E59">
        <f t="shared" si="0"/>
        <v>0.40479999999999999</v>
      </c>
      <c r="F59">
        <f t="shared" si="1"/>
        <v>0</v>
      </c>
      <c r="G59">
        <f t="shared" si="2"/>
        <v>0.16386303999999999</v>
      </c>
    </row>
    <row r="60" spans="1:7" x14ac:dyDescent="0.35">
      <c r="A60">
        <v>1.7</v>
      </c>
      <c r="B60">
        <v>0.48880000000000001</v>
      </c>
      <c r="C60">
        <v>0.48010000000000003</v>
      </c>
      <c r="D60">
        <v>0.2397</v>
      </c>
      <c r="E60">
        <f t="shared" si="0"/>
        <v>0.40286666666666671</v>
      </c>
      <c r="F60">
        <f t="shared" si="1"/>
        <v>0</v>
      </c>
      <c r="G60">
        <f t="shared" si="2"/>
        <v>0.16230155111111114</v>
      </c>
    </row>
    <row r="61" spans="1:7" x14ac:dyDescent="0.35">
      <c r="A61">
        <v>1.8</v>
      </c>
      <c r="B61">
        <v>0.48909999999999998</v>
      </c>
      <c r="C61">
        <v>0.4783</v>
      </c>
      <c r="D61">
        <v>0.2389</v>
      </c>
      <c r="E61">
        <f t="shared" si="0"/>
        <v>0.40210000000000007</v>
      </c>
      <c r="F61">
        <f t="shared" si="1"/>
        <v>0</v>
      </c>
      <c r="G61">
        <f t="shared" si="2"/>
        <v>0.16168441000000006</v>
      </c>
    </row>
    <row r="62" spans="1:7" x14ac:dyDescent="0.35">
      <c r="A62">
        <v>1.9</v>
      </c>
      <c r="B62">
        <v>0.48759999999999998</v>
      </c>
      <c r="C62">
        <v>0.47799999999999998</v>
      </c>
      <c r="D62">
        <v>0.2384</v>
      </c>
      <c r="E62">
        <f t="shared" si="0"/>
        <v>0.40133333333333332</v>
      </c>
      <c r="F62">
        <f t="shared" si="1"/>
        <v>0</v>
      </c>
      <c r="G62">
        <f t="shared" si="2"/>
        <v>0.16106844444444443</v>
      </c>
    </row>
    <row r="63" spans="1:7" x14ac:dyDescent="0.35">
      <c r="A63">
        <v>2</v>
      </c>
      <c r="B63">
        <v>0.4869</v>
      </c>
      <c r="C63">
        <v>0.47839999999999999</v>
      </c>
      <c r="D63">
        <v>0.23780000000000001</v>
      </c>
      <c r="E63">
        <f t="shared" si="0"/>
        <v>0.40103333333333335</v>
      </c>
      <c r="F63">
        <f t="shared" si="1"/>
        <v>0</v>
      </c>
      <c r="G63">
        <f t="shared" si="2"/>
        <v>0.16082773444444445</v>
      </c>
    </row>
    <row r="64" spans="1:7" x14ac:dyDescent="0.35">
      <c r="A64">
        <v>2.1</v>
      </c>
      <c r="B64">
        <v>0.48449999999999999</v>
      </c>
      <c r="C64">
        <v>0.4773</v>
      </c>
      <c r="D64">
        <v>0.23799999999999999</v>
      </c>
      <c r="E64">
        <f t="shared" si="0"/>
        <v>0.39993333333333331</v>
      </c>
      <c r="F64">
        <f t="shared" si="1"/>
        <v>0</v>
      </c>
      <c r="G64">
        <f t="shared" si="2"/>
        <v>0.15994667111111108</v>
      </c>
    </row>
    <row r="65" spans="1:7" x14ac:dyDescent="0.35">
      <c r="A65">
        <v>2.2000000000000002</v>
      </c>
      <c r="B65">
        <v>0.48370000000000002</v>
      </c>
      <c r="C65">
        <v>0.47570000000000001</v>
      </c>
      <c r="D65">
        <v>0.23719999999999999</v>
      </c>
      <c r="E65">
        <f t="shared" si="0"/>
        <v>0.3988666666666667</v>
      </c>
      <c r="F65">
        <f t="shared" si="1"/>
        <v>0</v>
      </c>
      <c r="G65">
        <f t="shared" si="2"/>
        <v>0.15909461777777781</v>
      </c>
    </row>
    <row r="66" spans="1:7" x14ac:dyDescent="0.35">
      <c r="A66">
        <v>2.2999999999999998</v>
      </c>
      <c r="B66">
        <v>0.48309999999999997</v>
      </c>
      <c r="C66">
        <v>0.47349999999999998</v>
      </c>
      <c r="D66">
        <v>0.23719999999999999</v>
      </c>
      <c r="E66">
        <f t="shared" si="0"/>
        <v>0.39793333333333331</v>
      </c>
      <c r="F66">
        <f t="shared" si="1"/>
        <v>0</v>
      </c>
      <c r="G66">
        <f t="shared" si="2"/>
        <v>0.15835093777777776</v>
      </c>
    </row>
    <row r="67" spans="1:7" x14ac:dyDescent="0.35">
      <c r="A67">
        <v>2.4</v>
      </c>
      <c r="B67">
        <v>0.48330000000000001</v>
      </c>
      <c r="C67">
        <v>0.4733</v>
      </c>
      <c r="D67">
        <v>0.23630000000000001</v>
      </c>
      <c r="E67">
        <f t="shared" ref="E67:E130" si="3">AVERAGE(B67:D67)</f>
        <v>0.39763333333333334</v>
      </c>
      <c r="F67">
        <f t="shared" ref="F67:F130" si="4">$J$2+$J$3*E67+$J$4*E67^2+$J$5*E67^3+$J$6*E67^4+$J$7*E67^5+$J$8*E67^6</f>
        <v>0</v>
      </c>
      <c r="G67">
        <f t="shared" ref="G67:G130" si="5">(E67-F67)^2</f>
        <v>0.15811226777777779</v>
      </c>
    </row>
    <row r="68" spans="1:7" x14ac:dyDescent="0.35">
      <c r="A68">
        <v>2.5</v>
      </c>
      <c r="B68">
        <v>0.48180000000000001</v>
      </c>
      <c r="C68">
        <v>0.4728</v>
      </c>
      <c r="D68">
        <v>0.2361</v>
      </c>
      <c r="E68">
        <f t="shared" si="3"/>
        <v>0.39690000000000003</v>
      </c>
      <c r="F68">
        <f t="shared" si="4"/>
        <v>0</v>
      </c>
      <c r="G68">
        <f t="shared" si="5"/>
        <v>0.15752961000000001</v>
      </c>
    </row>
    <row r="69" spans="1:7" x14ac:dyDescent="0.35">
      <c r="A69">
        <v>2.6</v>
      </c>
      <c r="B69">
        <v>0.48070000000000002</v>
      </c>
      <c r="C69">
        <v>0.47270000000000001</v>
      </c>
      <c r="D69">
        <v>0.23569999999999999</v>
      </c>
      <c r="E69">
        <f t="shared" si="3"/>
        <v>0.3963666666666667</v>
      </c>
      <c r="F69">
        <f t="shared" si="4"/>
        <v>0</v>
      </c>
      <c r="G69">
        <f t="shared" si="5"/>
        <v>0.15710653444444447</v>
      </c>
    </row>
    <row r="70" spans="1:7" x14ac:dyDescent="0.35">
      <c r="A70">
        <v>2.7</v>
      </c>
      <c r="B70">
        <v>0.48070000000000002</v>
      </c>
      <c r="C70">
        <v>0.47110000000000002</v>
      </c>
      <c r="D70">
        <v>0.2354</v>
      </c>
      <c r="E70">
        <f t="shared" si="3"/>
        <v>0.39573333333333333</v>
      </c>
      <c r="F70">
        <f t="shared" si="4"/>
        <v>0</v>
      </c>
      <c r="G70">
        <f t="shared" si="5"/>
        <v>0.1566048711111111</v>
      </c>
    </row>
    <row r="71" spans="1:7" x14ac:dyDescent="0.35">
      <c r="A71">
        <v>2.8</v>
      </c>
      <c r="B71">
        <v>0.48120000000000002</v>
      </c>
      <c r="C71">
        <v>0.47070000000000001</v>
      </c>
      <c r="D71">
        <v>0.23519999999999999</v>
      </c>
      <c r="E71">
        <f t="shared" si="3"/>
        <v>0.3957</v>
      </c>
      <c r="F71">
        <f t="shared" si="4"/>
        <v>0</v>
      </c>
      <c r="G71">
        <f t="shared" si="5"/>
        <v>0.15657848999999999</v>
      </c>
    </row>
    <row r="72" spans="1:7" x14ac:dyDescent="0.35">
      <c r="A72">
        <v>2.9</v>
      </c>
      <c r="B72">
        <v>0.48099999999999998</v>
      </c>
      <c r="C72">
        <v>0.46879999999999999</v>
      </c>
      <c r="D72">
        <v>0.23549999999999999</v>
      </c>
      <c r="E72">
        <f t="shared" si="3"/>
        <v>0.39510000000000001</v>
      </c>
      <c r="F72">
        <f t="shared" si="4"/>
        <v>0</v>
      </c>
      <c r="G72">
        <f t="shared" si="5"/>
        <v>0.15610401000000002</v>
      </c>
    </row>
    <row r="73" spans="1:7" x14ac:dyDescent="0.35">
      <c r="A73">
        <v>3</v>
      </c>
      <c r="B73">
        <v>0.4803</v>
      </c>
      <c r="C73">
        <v>0.46939999999999998</v>
      </c>
      <c r="D73">
        <v>0.2354</v>
      </c>
      <c r="E73">
        <f t="shared" si="3"/>
        <v>0.39503333333333335</v>
      </c>
      <c r="F73">
        <f t="shared" si="4"/>
        <v>0</v>
      </c>
      <c r="G73">
        <f t="shared" si="5"/>
        <v>0.15605133444444447</v>
      </c>
    </row>
    <row r="74" spans="1:7" x14ac:dyDescent="0.35">
      <c r="A74">
        <v>3.1</v>
      </c>
      <c r="B74">
        <v>0.4783</v>
      </c>
      <c r="C74">
        <v>0.46910000000000002</v>
      </c>
      <c r="D74">
        <v>0.2354</v>
      </c>
      <c r="E74">
        <f t="shared" si="3"/>
        <v>0.39426666666666671</v>
      </c>
      <c r="F74">
        <f t="shared" si="4"/>
        <v>0</v>
      </c>
      <c r="G74">
        <f t="shared" si="5"/>
        <v>0.15544620444444449</v>
      </c>
    </row>
    <row r="75" spans="1:7" x14ac:dyDescent="0.35">
      <c r="A75">
        <v>3.2</v>
      </c>
      <c r="B75">
        <v>0.47720000000000001</v>
      </c>
      <c r="C75">
        <v>0.46949999999999997</v>
      </c>
      <c r="D75">
        <v>0.23469999999999999</v>
      </c>
      <c r="E75">
        <f t="shared" si="3"/>
        <v>0.39379999999999998</v>
      </c>
      <c r="F75">
        <f t="shared" si="4"/>
        <v>0</v>
      </c>
      <c r="G75">
        <f t="shared" si="5"/>
        <v>0.15507843999999998</v>
      </c>
    </row>
    <row r="76" spans="1:7" x14ac:dyDescent="0.35">
      <c r="A76">
        <v>3.4</v>
      </c>
      <c r="B76">
        <v>0.47410000000000002</v>
      </c>
      <c r="C76">
        <v>0.46710000000000002</v>
      </c>
      <c r="D76">
        <v>0.2341</v>
      </c>
      <c r="E76">
        <f t="shared" si="3"/>
        <v>0.39176666666666665</v>
      </c>
      <c r="F76">
        <f t="shared" si="4"/>
        <v>0</v>
      </c>
      <c r="G76">
        <f t="shared" si="5"/>
        <v>0.15348112111111109</v>
      </c>
    </row>
    <row r="77" spans="1:7" x14ac:dyDescent="0.35">
      <c r="A77">
        <v>3.6</v>
      </c>
      <c r="B77">
        <v>0.4723</v>
      </c>
      <c r="C77">
        <v>0.46550000000000002</v>
      </c>
      <c r="D77">
        <v>0.23350000000000001</v>
      </c>
      <c r="E77">
        <f t="shared" si="3"/>
        <v>0.39043333333333335</v>
      </c>
      <c r="F77">
        <f t="shared" si="4"/>
        <v>0</v>
      </c>
      <c r="G77">
        <f t="shared" si="5"/>
        <v>0.15243818777777779</v>
      </c>
    </row>
    <row r="78" spans="1:7" x14ac:dyDescent="0.35">
      <c r="A78">
        <v>3.8</v>
      </c>
      <c r="B78">
        <v>0.47149999999999997</v>
      </c>
      <c r="C78">
        <v>0.4642</v>
      </c>
      <c r="D78">
        <v>0.23319999999999999</v>
      </c>
      <c r="E78">
        <f t="shared" si="3"/>
        <v>0.38963333333333333</v>
      </c>
      <c r="F78">
        <f t="shared" si="4"/>
        <v>0</v>
      </c>
      <c r="G78">
        <f t="shared" si="5"/>
        <v>0.15181413444444444</v>
      </c>
    </row>
    <row r="79" spans="1:7" x14ac:dyDescent="0.35">
      <c r="A79">
        <v>4</v>
      </c>
      <c r="B79">
        <v>0.46879999999999999</v>
      </c>
      <c r="C79">
        <v>0.46289999999999998</v>
      </c>
      <c r="D79">
        <v>0.23269999999999999</v>
      </c>
      <c r="E79">
        <f t="shared" si="3"/>
        <v>0.38813333333333327</v>
      </c>
      <c r="F79">
        <f t="shared" si="4"/>
        <v>0</v>
      </c>
      <c r="G79">
        <f t="shared" si="5"/>
        <v>0.1506474844444444</v>
      </c>
    </row>
    <row r="80" spans="1:7" x14ac:dyDescent="0.35">
      <c r="A80">
        <v>4.2</v>
      </c>
      <c r="B80">
        <v>0.46639999999999998</v>
      </c>
      <c r="C80">
        <v>0.4612</v>
      </c>
      <c r="D80">
        <v>0.2319</v>
      </c>
      <c r="E80">
        <f t="shared" si="3"/>
        <v>0.38650000000000001</v>
      </c>
      <c r="F80">
        <f t="shared" si="4"/>
        <v>0</v>
      </c>
      <c r="G80">
        <f t="shared" si="5"/>
        <v>0.14938224999999999</v>
      </c>
    </row>
    <row r="81" spans="1:7" x14ac:dyDescent="0.35">
      <c r="A81">
        <v>4.4000000000000004</v>
      </c>
      <c r="B81">
        <v>0.4642</v>
      </c>
      <c r="C81">
        <v>0.46</v>
      </c>
      <c r="D81">
        <v>0.23089999999999999</v>
      </c>
      <c r="E81">
        <f t="shared" si="3"/>
        <v>0.38503333333333334</v>
      </c>
      <c r="F81">
        <f t="shared" si="4"/>
        <v>0</v>
      </c>
      <c r="G81">
        <f t="shared" si="5"/>
        <v>0.14825066777777779</v>
      </c>
    </row>
    <row r="82" spans="1:7" x14ac:dyDescent="0.35">
      <c r="A82">
        <v>4.5999999999999996</v>
      </c>
      <c r="B82">
        <v>0.46289999999999998</v>
      </c>
      <c r="C82">
        <v>0.45929999999999999</v>
      </c>
      <c r="D82">
        <v>0.2306</v>
      </c>
      <c r="E82">
        <f t="shared" si="3"/>
        <v>0.38426666666666659</v>
      </c>
      <c r="F82">
        <f t="shared" si="4"/>
        <v>0</v>
      </c>
      <c r="G82">
        <f t="shared" si="5"/>
        <v>0.14766087111111106</v>
      </c>
    </row>
    <row r="83" spans="1:7" x14ac:dyDescent="0.35">
      <c r="A83">
        <v>4.8</v>
      </c>
      <c r="B83">
        <v>0.46189999999999998</v>
      </c>
      <c r="C83">
        <v>0.45839999999999997</v>
      </c>
      <c r="D83">
        <v>0.23019999999999999</v>
      </c>
      <c r="E83">
        <f t="shared" si="3"/>
        <v>0.38349999999999995</v>
      </c>
      <c r="F83">
        <f t="shared" si="4"/>
        <v>0</v>
      </c>
      <c r="G83">
        <f t="shared" si="5"/>
        <v>0.14707224999999996</v>
      </c>
    </row>
    <row r="84" spans="1:7" x14ac:dyDescent="0.35">
      <c r="A84">
        <v>5</v>
      </c>
      <c r="B84">
        <v>0.46010000000000001</v>
      </c>
      <c r="C84">
        <v>0.45760000000000001</v>
      </c>
      <c r="D84">
        <v>0.22989999999999999</v>
      </c>
      <c r="E84">
        <f t="shared" si="3"/>
        <v>0.38253333333333334</v>
      </c>
      <c r="F84">
        <f t="shared" si="4"/>
        <v>0</v>
      </c>
      <c r="G84">
        <f t="shared" si="5"/>
        <v>0.1463317511111111</v>
      </c>
    </row>
    <row r="85" spans="1:7" x14ac:dyDescent="0.35">
      <c r="A85">
        <v>5.2</v>
      </c>
      <c r="B85">
        <v>0.45800000000000002</v>
      </c>
      <c r="C85">
        <v>0.45629999999999998</v>
      </c>
      <c r="D85">
        <v>0.2293</v>
      </c>
      <c r="E85">
        <f t="shared" si="3"/>
        <v>0.38119999999999998</v>
      </c>
      <c r="F85">
        <f t="shared" si="4"/>
        <v>0</v>
      </c>
      <c r="G85">
        <f t="shared" si="5"/>
        <v>0.14531343999999999</v>
      </c>
    </row>
    <row r="86" spans="1:7" x14ac:dyDescent="0.35">
      <c r="A86">
        <v>5.4</v>
      </c>
      <c r="B86">
        <v>0.45519999999999999</v>
      </c>
      <c r="C86">
        <v>0.45490000000000003</v>
      </c>
      <c r="D86">
        <v>0.2288</v>
      </c>
      <c r="E86">
        <f t="shared" si="3"/>
        <v>0.37963333333333332</v>
      </c>
      <c r="F86">
        <f t="shared" si="4"/>
        <v>0</v>
      </c>
      <c r="G86">
        <f t="shared" si="5"/>
        <v>0.14412146777777776</v>
      </c>
    </row>
    <row r="87" spans="1:7" x14ac:dyDescent="0.35">
      <c r="A87">
        <v>5.6</v>
      </c>
      <c r="B87">
        <v>0.45340000000000003</v>
      </c>
      <c r="C87">
        <v>0.45319999999999999</v>
      </c>
      <c r="D87">
        <v>0.22839999999999999</v>
      </c>
      <c r="E87">
        <f t="shared" si="3"/>
        <v>0.37833333333333335</v>
      </c>
      <c r="F87">
        <f t="shared" si="4"/>
        <v>0</v>
      </c>
      <c r="G87">
        <f t="shared" si="5"/>
        <v>0.14313611111111113</v>
      </c>
    </row>
    <row r="88" spans="1:7" x14ac:dyDescent="0.35">
      <c r="A88">
        <v>5.8</v>
      </c>
      <c r="B88">
        <v>0.4521</v>
      </c>
      <c r="C88">
        <v>0.45190000000000002</v>
      </c>
      <c r="D88">
        <v>0.2276</v>
      </c>
      <c r="E88">
        <f t="shared" si="3"/>
        <v>0.37719999999999998</v>
      </c>
      <c r="F88">
        <f t="shared" si="4"/>
        <v>0</v>
      </c>
      <c r="G88">
        <f t="shared" si="5"/>
        <v>0.14227983999999999</v>
      </c>
    </row>
    <row r="89" spans="1:7" x14ac:dyDescent="0.35">
      <c r="A89">
        <v>6</v>
      </c>
      <c r="B89">
        <v>0.45079999999999998</v>
      </c>
      <c r="C89">
        <v>0.45119999999999999</v>
      </c>
      <c r="D89">
        <v>0.22739999999999999</v>
      </c>
      <c r="E89">
        <f t="shared" si="3"/>
        <v>0.37646666666666667</v>
      </c>
      <c r="F89">
        <f t="shared" si="4"/>
        <v>0</v>
      </c>
      <c r="G89">
        <f t="shared" si="5"/>
        <v>0.14172715111111112</v>
      </c>
    </row>
    <row r="90" spans="1:7" x14ac:dyDescent="0.35">
      <c r="A90">
        <v>6.2</v>
      </c>
      <c r="B90">
        <v>0.44929999999999998</v>
      </c>
      <c r="C90">
        <v>0.44979999999999998</v>
      </c>
      <c r="D90">
        <v>0.22670000000000001</v>
      </c>
      <c r="E90">
        <f t="shared" si="3"/>
        <v>0.37526666666666664</v>
      </c>
      <c r="F90">
        <f t="shared" si="4"/>
        <v>0</v>
      </c>
      <c r="G90">
        <f t="shared" si="5"/>
        <v>0.14082507111111109</v>
      </c>
    </row>
    <row r="91" spans="1:7" x14ac:dyDescent="0.35">
      <c r="A91">
        <v>6.4</v>
      </c>
      <c r="B91">
        <v>0.44800000000000001</v>
      </c>
      <c r="C91">
        <v>0.4486</v>
      </c>
      <c r="D91">
        <v>0.22639999999999999</v>
      </c>
      <c r="E91">
        <f t="shared" si="3"/>
        <v>0.37433333333333335</v>
      </c>
      <c r="F91">
        <f t="shared" si="4"/>
        <v>0</v>
      </c>
      <c r="G91">
        <f t="shared" si="5"/>
        <v>0.14012544444444447</v>
      </c>
    </row>
    <row r="92" spans="1:7" x14ac:dyDescent="0.35">
      <c r="A92">
        <v>6.8</v>
      </c>
      <c r="B92">
        <v>0.4451</v>
      </c>
      <c r="C92">
        <v>0.44590000000000002</v>
      </c>
      <c r="D92">
        <v>0.2253</v>
      </c>
      <c r="E92">
        <f t="shared" si="3"/>
        <v>0.37210000000000004</v>
      </c>
      <c r="F92">
        <f t="shared" si="4"/>
        <v>0</v>
      </c>
      <c r="G92">
        <f t="shared" si="5"/>
        <v>0.13845841000000003</v>
      </c>
    </row>
    <row r="93" spans="1:7" x14ac:dyDescent="0.35">
      <c r="A93">
        <v>7.2</v>
      </c>
      <c r="B93">
        <v>0.44159999999999999</v>
      </c>
      <c r="C93">
        <v>0.44350000000000001</v>
      </c>
      <c r="D93">
        <v>0.22450000000000001</v>
      </c>
      <c r="E93">
        <f t="shared" si="3"/>
        <v>0.36986666666666662</v>
      </c>
      <c r="F93">
        <f t="shared" si="4"/>
        <v>0</v>
      </c>
      <c r="G93">
        <f t="shared" si="5"/>
        <v>0.13680135111111108</v>
      </c>
    </row>
    <row r="94" spans="1:7" x14ac:dyDescent="0.35">
      <c r="A94">
        <v>7.6</v>
      </c>
      <c r="B94">
        <v>0.43809999999999999</v>
      </c>
      <c r="C94">
        <v>0.44109999999999999</v>
      </c>
      <c r="D94">
        <v>0.22370000000000001</v>
      </c>
      <c r="E94">
        <f t="shared" si="3"/>
        <v>0.36763333333333331</v>
      </c>
      <c r="F94">
        <f t="shared" si="4"/>
        <v>0</v>
      </c>
      <c r="G94">
        <f t="shared" si="5"/>
        <v>0.13515426777777775</v>
      </c>
    </row>
    <row r="95" spans="1:7" x14ac:dyDescent="0.35">
      <c r="A95">
        <v>8</v>
      </c>
      <c r="B95">
        <v>0.4355</v>
      </c>
      <c r="C95">
        <v>0.43880000000000002</v>
      </c>
      <c r="D95">
        <v>0.2228</v>
      </c>
      <c r="E95">
        <f t="shared" si="3"/>
        <v>0.36570000000000008</v>
      </c>
      <c r="F95">
        <f t="shared" si="4"/>
        <v>0</v>
      </c>
      <c r="G95">
        <f t="shared" si="5"/>
        <v>0.13373649000000007</v>
      </c>
    </row>
    <row r="96" spans="1:7" x14ac:dyDescent="0.35">
      <c r="A96">
        <v>8.4</v>
      </c>
      <c r="B96">
        <v>0.4325</v>
      </c>
      <c r="C96">
        <v>0.43690000000000001</v>
      </c>
      <c r="D96">
        <v>0.222</v>
      </c>
      <c r="E96">
        <f t="shared" si="3"/>
        <v>0.36379999999999996</v>
      </c>
      <c r="F96">
        <f t="shared" si="4"/>
        <v>0</v>
      </c>
      <c r="G96">
        <f t="shared" si="5"/>
        <v>0.13235043999999996</v>
      </c>
    </row>
    <row r="97" spans="1:7" x14ac:dyDescent="0.35">
      <c r="A97">
        <v>8.8000000000000007</v>
      </c>
      <c r="B97">
        <v>0.42930000000000001</v>
      </c>
      <c r="C97">
        <v>0.435</v>
      </c>
      <c r="D97">
        <v>0.2213</v>
      </c>
      <c r="E97">
        <f t="shared" si="3"/>
        <v>0.36186666666666673</v>
      </c>
      <c r="F97">
        <f t="shared" si="4"/>
        <v>0</v>
      </c>
      <c r="G97">
        <f t="shared" si="5"/>
        <v>0.13094748444444448</v>
      </c>
    </row>
    <row r="98" spans="1:7" x14ac:dyDescent="0.35">
      <c r="A98">
        <v>9.1999999999999993</v>
      </c>
      <c r="B98">
        <v>0.42649999999999999</v>
      </c>
      <c r="C98">
        <v>0.43309999999999998</v>
      </c>
      <c r="D98">
        <v>0.2205</v>
      </c>
      <c r="E98">
        <f t="shared" si="3"/>
        <v>0.36003333333333326</v>
      </c>
      <c r="F98">
        <f t="shared" si="4"/>
        <v>0</v>
      </c>
      <c r="G98">
        <f t="shared" si="5"/>
        <v>0.12962400111111105</v>
      </c>
    </row>
    <row r="99" spans="1:7" x14ac:dyDescent="0.35">
      <c r="A99">
        <v>9.6</v>
      </c>
      <c r="B99">
        <v>0.42480000000000001</v>
      </c>
      <c r="C99">
        <v>0.43099999999999999</v>
      </c>
      <c r="D99">
        <v>0.21929999999999999</v>
      </c>
      <c r="E99">
        <f t="shared" si="3"/>
        <v>0.35836666666666667</v>
      </c>
      <c r="F99">
        <f t="shared" si="4"/>
        <v>0</v>
      </c>
      <c r="G99">
        <f t="shared" si="5"/>
        <v>0.12842666777777778</v>
      </c>
    </row>
    <row r="100" spans="1:7" x14ac:dyDescent="0.35">
      <c r="A100">
        <v>10</v>
      </c>
      <c r="B100">
        <v>0.4234</v>
      </c>
      <c r="C100">
        <v>0.42909999999999998</v>
      </c>
      <c r="D100">
        <v>0.21829999999999999</v>
      </c>
      <c r="E100">
        <f t="shared" si="3"/>
        <v>0.35693333333333332</v>
      </c>
      <c r="F100">
        <f t="shared" si="4"/>
        <v>0</v>
      </c>
      <c r="G100">
        <f t="shared" si="5"/>
        <v>0.12740140444444445</v>
      </c>
    </row>
    <row r="101" spans="1:7" x14ac:dyDescent="0.35">
      <c r="A101">
        <v>10.4</v>
      </c>
      <c r="B101">
        <v>0.42149999999999999</v>
      </c>
      <c r="C101">
        <v>0.42709999999999998</v>
      </c>
      <c r="D101">
        <v>0.21729999999999999</v>
      </c>
      <c r="E101">
        <f t="shared" si="3"/>
        <v>0.3553</v>
      </c>
      <c r="F101">
        <f t="shared" si="4"/>
        <v>0</v>
      </c>
      <c r="G101">
        <f t="shared" si="5"/>
        <v>0.12623809</v>
      </c>
    </row>
    <row r="102" spans="1:7" x14ac:dyDescent="0.35">
      <c r="A102">
        <v>10.8</v>
      </c>
      <c r="B102">
        <v>0.41839999999999999</v>
      </c>
      <c r="C102">
        <v>0.42509999999999998</v>
      </c>
      <c r="D102">
        <v>0.2167</v>
      </c>
      <c r="E102">
        <f t="shared" si="3"/>
        <v>0.35339999999999999</v>
      </c>
      <c r="F102">
        <f t="shared" si="4"/>
        <v>0</v>
      </c>
      <c r="G102">
        <f t="shared" si="5"/>
        <v>0.12489156</v>
      </c>
    </row>
    <row r="103" spans="1:7" x14ac:dyDescent="0.35">
      <c r="A103">
        <v>11.2</v>
      </c>
      <c r="B103">
        <v>0.41560000000000002</v>
      </c>
      <c r="C103">
        <v>0.4234</v>
      </c>
      <c r="D103">
        <v>0.216</v>
      </c>
      <c r="E103">
        <f t="shared" si="3"/>
        <v>0.35166666666666663</v>
      </c>
      <c r="F103">
        <f t="shared" si="4"/>
        <v>0</v>
      </c>
      <c r="G103">
        <f t="shared" si="5"/>
        <v>0.12366944444444442</v>
      </c>
    </row>
    <row r="104" spans="1:7" x14ac:dyDescent="0.35">
      <c r="A104">
        <v>11.6</v>
      </c>
      <c r="B104">
        <v>0.41370000000000001</v>
      </c>
      <c r="C104">
        <v>0.4214</v>
      </c>
      <c r="D104">
        <v>0.21529999999999999</v>
      </c>
      <c r="E104">
        <f t="shared" si="3"/>
        <v>0.35013333333333335</v>
      </c>
      <c r="F104">
        <f t="shared" si="4"/>
        <v>0</v>
      </c>
      <c r="G104">
        <f t="shared" si="5"/>
        <v>0.12259335111111112</v>
      </c>
    </row>
    <row r="105" spans="1:7" x14ac:dyDescent="0.35">
      <c r="A105">
        <v>12</v>
      </c>
      <c r="B105">
        <v>0.41220000000000001</v>
      </c>
      <c r="C105">
        <v>0.42020000000000002</v>
      </c>
      <c r="D105">
        <v>0.215</v>
      </c>
      <c r="E105">
        <f t="shared" si="3"/>
        <v>0.34913333333333335</v>
      </c>
      <c r="F105">
        <f t="shared" si="4"/>
        <v>0</v>
      </c>
      <c r="G105">
        <f t="shared" si="5"/>
        <v>0.12189408444444445</v>
      </c>
    </row>
    <row r="106" spans="1:7" x14ac:dyDescent="0.35">
      <c r="A106">
        <v>12.4</v>
      </c>
      <c r="B106">
        <v>0.4098</v>
      </c>
      <c r="C106">
        <v>0.41889999999999999</v>
      </c>
      <c r="D106">
        <v>0.21440000000000001</v>
      </c>
      <c r="E106">
        <f t="shared" si="3"/>
        <v>0.34769999999999995</v>
      </c>
      <c r="F106">
        <f t="shared" si="4"/>
        <v>0</v>
      </c>
      <c r="G106">
        <f t="shared" si="5"/>
        <v>0.12089528999999996</v>
      </c>
    </row>
    <row r="107" spans="1:7" x14ac:dyDescent="0.35">
      <c r="A107">
        <v>12.8</v>
      </c>
      <c r="B107">
        <v>0.40710000000000002</v>
      </c>
      <c r="C107">
        <v>0.41760000000000003</v>
      </c>
      <c r="D107">
        <v>0.21390000000000001</v>
      </c>
      <c r="E107">
        <f t="shared" si="3"/>
        <v>0.34620000000000001</v>
      </c>
      <c r="F107">
        <f t="shared" si="4"/>
        <v>0</v>
      </c>
      <c r="G107">
        <f t="shared" si="5"/>
        <v>0.11985444000000001</v>
      </c>
    </row>
    <row r="108" spans="1:7" x14ac:dyDescent="0.35">
      <c r="A108">
        <v>13.6</v>
      </c>
      <c r="B108">
        <v>0.40229999999999999</v>
      </c>
      <c r="C108">
        <v>0.41439999999999999</v>
      </c>
      <c r="D108">
        <v>0.21199999999999999</v>
      </c>
      <c r="E108">
        <f t="shared" si="3"/>
        <v>0.34289999999999998</v>
      </c>
      <c r="F108">
        <f t="shared" si="4"/>
        <v>0</v>
      </c>
      <c r="G108">
        <f t="shared" si="5"/>
        <v>0.11758040999999998</v>
      </c>
    </row>
    <row r="109" spans="1:7" x14ac:dyDescent="0.35">
      <c r="A109">
        <v>14.4</v>
      </c>
      <c r="B109">
        <v>0.39850000000000002</v>
      </c>
      <c r="C109">
        <v>0.4108</v>
      </c>
      <c r="D109">
        <v>0.2107</v>
      </c>
      <c r="E109">
        <f t="shared" si="3"/>
        <v>0.34</v>
      </c>
      <c r="F109">
        <f t="shared" si="4"/>
        <v>0</v>
      </c>
      <c r="G109">
        <f t="shared" si="5"/>
        <v>0.11560000000000002</v>
      </c>
    </row>
    <row r="110" spans="1:7" x14ac:dyDescent="0.35">
      <c r="A110">
        <v>15.2</v>
      </c>
      <c r="B110">
        <v>0.39510000000000001</v>
      </c>
      <c r="C110">
        <v>0.40770000000000001</v>
      </c>
      <c r="D110">
        <v>0.2097</v>
      </c>
      <c r="E110">
        <f t="shared" si="3"/>
        <v>0.33749999999999997</v>
      </c>
      <c r="F110">
        <f t="shared" si="4"/>
        <v>0</v>
      </c>
      <c r="G110">
        <f t="shared" si="5"/>
        <v>0.11390624999999997</v>
      </c>
    </row>
    <row r="111" spans="1:7" x14ac:dyDescent="0.35">
      <c r="A111">
        <v>16</v>
      </c>
      <c r="B111">
        <v>0.39169999999999999</v>
      </c>
      <c r="C111">
        <v>0.40500000000000003</v>
      </c>
      <c r="D111">
        <v>0.20860000000000001</v>
      </c>
      <c r="E111">
        <f t="shared" si="3"/>
        <v>0.33510000000000001</v>
      </c>
      <c r="F111">
        <f t="shared" si="4"/>
        <v>0</v>
      </c>
      <c r="G111">
        <f t="shared" si="5"/>
        <v>0.11229201000000001</v>
      </c>
    </row>
    <row r="112" spans="1:7" x14ac:dyDescent="0.35">
      <c r="A112">
        <v>16.8</v>
      </c>
      <c r="B112">
        <v>0.3886</v>
      </c>
      <c r="C112">
        <v>0.40250000000000002</v>
      </c>
      <c r="D112">
        <v>0.20780000000000001</v>
      </c>
      <c r="E112">
        <f t="shared" si="3"/>
        <v>0.33296666666666669</v>
      </c>
      <c r="F112">
        <f t="shared" si="4"/>
        <v>0</v>
      </c>
      <c r="G112">
        <f t="shared" si="5"/>
        <v>0.11086680111111112</v>
      </c>
    </row>
    <row r="113" spans="1:7" x14ac:dyDescent="0.35">
      <c r="A113">
        <v>17.600000000000001</v>
      </c>
      <c r="B113">
        <v>0.38490000000000002</v>
      </c>
      <c r="C113">
        <v>0.40029999999999999</v>
      </c>
      <c r="D113">
        <v>0.2069</v>
      </c>
      <c r="E113">
        <f t="shared" si="3"/>
        <v>0.33069999999999999</v>
      </c>
      <c r="F113">
        <f t="shared" si="4"/>
        <v>0</v>
      </c>
      <c r="G113">
        <f t="shared" si="5"/>
        <v>0.10936248999999999</v>
      </c>
    </row>
    <row r="114" spans="1:7" x14ac:dyDescent="0.35">
      <c r="A114">
        <v>18.399999999999999</v>
      </c>
      <c r="B114">
        <v>0.38179999999999997</v>
      </c>
      <c r="C114">
        <v>0.39779999999999999</v>
      </c>
      <c r="D114">
        <v>0.20569999999999999</v>
      </c>
      <c r="E114">
        <f t="shared" si="3"/>
        <v>0.3284333333333333</v>
      </c>
      <c r="F114">
        <f t="shared" si="4"/>
        <v>0</v>
      </c>
      <c r="G114">
        <f t="shared" si="5"/>
        <v>0.10786845444444443</v>
      </c>
    </row>
    <row r="115" spans="1:7" x14ac:dyDescent="0.35">
      <c r="A115">
        <v>19.2</v>
      </c>
      <c r="B115">
        <v>0.37830000000000003</v>
      </c>
      <c r="C115">
        <v>0.39539999999999997</v>
      </c>
      <c r="D115">
        <v>0.20469999999999999</v>
      </c>
      <c r="E115">
        <f t="shared" si="3"/>
        <v>0.32613333333333333</v>
      </c>
      <c r="F115">
        <f t="shared" si="4"/>
        <v>0</v>
      </c>
      <c r="G115">
        <f t="shared" si="5"/>
        <v>0.1063629511111111</v>
      </c>
    </row>
    <row r="116" spans="1:7" x14ac:dyDescent="0.35">
      <c r="A116">
        <v>20</v>
      </c>
      <c r="B116">
        <v>0.37559999999999999</v>
      </c>
      <c r="C116">
        <v>0.39269999999999999</v>
      </c>
      <c r="D116">
        <v>0.20349999999999999</v>
      </c>
      <c r="E116">
        <f t="shared" si="3"/>
        <v>0.32393333333333335</v>
      </c>
      <c r="F116">
        <f t="shared" si="4"/>
        <v>0</v>
      </c>
      <c r="G116">
        <f t="shared" si="5"/>
        <v>0.10493280444444446</v>
      </c>
    </row>
    <row r="117" spans="1:7" x14ac:dyDescent="0.35">
      <c r="A117">
        <v>20.8</v>
      </c>
      <c r="B117">
        <v>0.37240000000000001</v>
      </c>
      <c r="C117">
        <v>0.39019999999999999</v>
      </c>
      <c r="D117">
        <v>0.20269999999999999</v>
      </c>
      <c r="E117">
        <f t="shared" si="3"/>
        <v>0.32176666666666665</v>
      </c>
      <c r="F117">
        <f t="shared" si="4"/>
        <v>0</v>
      </c>
      <c r="G117">
        <f t="shared" si="5"/>
        <v>0.10353378777777776</v>
      </c>
    </row>
    <row r="118" spans="1:7" x14ac:dyDescent="0.35">
      <c r="A118">
        <v>21.6</v>
      </c>
      <c r="B118">
        <v>0.37019999999999997</v>
      </c>
      <c r="C118">
        <v>0.38829999999999998</v>
      </c>
      <c r="D118">
        <v>0.20169999999999999</v>
      </c>
      <c r="E118">
        <f t="shared" si="3"/>
        <v>0.32006666666666667</v>
      </c>
      <c r="F118">
        <f t="shared" si="4"/>
        <v>0</v>
      </c>
      <c r="G118">
        <f t="shared" si="5"/>
        <v>0.10244267111111111</v>
      </c>
    </row>
    <row r="119" spans="1:7" x14ac:dyDescent="0.35">
      <c r="A119">
        <v>22.4</v>
      </c>
      <c r="B119">
        <v>0.36780000000000002</v>
      </c>
      <c r="C119">
        <v>0.38669999999999999</v>
      </c>
      <c r="D119">
        <v>0.2011</v>
      </c>
      <c r="E119">
        <f t="shared" si="3"/>
        <v>0.31853333333333333</v>
      </c>
      <c r="F119">
        <f t="shared" si="4"/>
        <v>0</v>
      </c>
      <c r="G119">
        <f t="shared" si="5"/>
        <v>0.10146348444444445</v>
      </c>
    </row>
    <row r="120" spans="1:7" x14ac:dyDescent="0.35">
      <c r="A120">
        <v>23.2</v>
      </c>
      <c r="B120">
        <v>0.36549999999999999</v>
      </c>
      <c r="C120">
        <v>0.38490000000000002</v>
      </c>
      <c r="D120">
        <v>0.2001</v>
      </c>
      <c r="E120">
        <f t="shared" si="3"/>
        <v>0.3168333333333333</v>
      </c>
      <c r="F120">
        <f t="shared" si="4"/>
        <v>0</v>
      </c>
      <c r="G120">
        <f t="shared" si="5"/>
        <v>0.1003833611111111</v>
      </c>
    </row>
    <row r="121" spans="1:7" x14ac:dyDescent="0.35">
      <c r="A121">
        <v>24</v>
      </c>
      <c r="B121">
        <v>0.36320000000000002</v>
      </c>
      <c r="C121">
        <v>0.38300000000000001</v>
      </c>
      <c r="D121">
        <v>0.19939999999999999</v>
      </c>
      <c r="E121">
        <f t="shared" si="3"/>
        <v>0.31519999999999998</v>
      </c>
      <c r="F121">
        <f t="shared" si="4"/>
        <v>0</v>
      </c>
      <c r="G121">
        <f t="shared" si="5"/>
        <v>9.9351039999999988E-2</v>
      </c>
    </row>
    <row r="122" spans="1:7" x14ac:dyDescent="0.35">
      <c r="A122">
        <v>24.8</v>
      </c>
      <c r="B122">
        <v>0.36059999999999998</v>
      </c>
      <c r="C122">
        <v>0.38109999999999999</v>
      </c>
      <c r="D122">
        <v>0.19850000000000001</v>
      </c>
      <c r="E122">
        <f t="shared" si="3"/>
        <v>0.31340000000000001</v>
      </c>
      <c r="F122">
        <f t="shared" si="4"/>
        <v>0</v>
      </c>
      <c r="G122">
        <f t="shared" si="5"/>
        <v>9.8219560000000011E-2</v>
      </c>
    </row>
    <row r="123" spans="1:7" x14ac:dyDescent="0.35">
      <c r="A123">
        <v>25.6</v>
      </c>
      <c r="B123">
        <v>0.35849999999999999</v>
      </c>
      <c r="C123">
        <v>0.37930000000000003</v>
      </c>
      <c r="D123">
        <v>0.19789999999999999</v>
      </c>
      <c r="E123">
        <f t="shared" si="3"/>
        <v>0.31190000000000001</v>
      </c>
      <c r="F123">
        <f t="shared" si="4"/>
        <v>0</v>
      </c>
      <c r="G123">
        <f t="shared" si="5"/>
        <v>9.7281610000000004E-2</v>
      </c>
    </row>
    <row r="124" spans="1:7" x14ac:dyDescent="0.35">
      <c r="A124">
        <v>27.2</v>
      </c>
      <c r="B124">
        <v>0.35360000000000003</v>
      </c>
      <c r="C124">
        <v>0.37590000000000001</v>
      </c>
      <c r="D124">
        <v>0.19650000000000001</v>
      </c>
      <c r="E124">
        <f t="shared" si="3"/>
        <v>0.3086666666666667</v>
      </c>
      <c r="F124">
        <f t="shared" si="4"/>
        <v>0</v>
      </c>
      <c r="G124">
        <f t="shared" si="5"/>
        <v>9.527511111111113E-2</v>
      </c>
    </row>
    <row r="125" spans="1:7" x14ac:dyDescent="0.35">
      <c r="A125">
        <v>28.8</v>
      </c>
      <c r="B125">
        <v>0.34939999999999999</v>
      </c>
      <c r="C125">
        <v>0.373</v>
      </c>
      <c r="D125">
        <v>0.19520000000000001</v>
      </c>
      <c r="E125">
        <f t="shared" si="3"/>
        <v>0.30586666666666668</v>
      </c>
      <c r="F125">
        <f t="shared" si="4"/>
        <v>0</v>
      </c>
      <c r="G125">
        <f t="shared" si="5"/>
        <v>9.3554417777777787E-2</v>
      </c>
    </row>
    <row r="126" spans="1:7" x14ac:dyDescent="0.35">
      <c r="A126">
        <v>30.4</v>
      </c>
      <c r="B126">
        <v>0.34549999999999997</v>
      </c>
      <c r="C126">
        <v>0.37009999999999998</v>
      </c>
      <c r="D126">
        <v>0.19400000000000001</v>
      </c>
      <c r="E126">
        <f t="shared" si="3"/>
        <v>0.30319999999999997</v>
      </c>
      <c r="F126">
        <f t="shared" si="4"/>
        <v>0</v>
      </c>
      <c r="G126">
        <f t="shared" si="5"/>
        <v>9.1930239999999983E-2</v>
      </c>
    </row>
    <row r="127" spans="1:7" x14ac:dyDescent="0.35">
      <c r="A127">
        <v>32</v>
      </c>
      <c r="B127">
        <v>0.3422</v>
      </c>
      <c r="C127">
        <v>0.36720000000000003</v>
      </c>
      <c r="D127">
        <v>0.1928</v>
      </c>
      <c r="E127">
        <f t="shared" si="3"/>
        <v>0.30073333333333335</v>
      </c>
      <c r="F127">
        <f t="shared" si="4"/>
        <v>0</v>
      </c>
      <c r="G127">
        <f t="shared" si="5"/>
        <v>9.0440537777777788E-2</v>
      </c>
    </row>
    <row r="128" spans="1:7" x14ac:dyDescent="0.35">
      <c r="A128">
        <v>33.6</v>
      </c>
      <c r="B128">
        <v>0.33900000000000002</v>
      </c>
      <c r="C128">
        <v>0.36430000000000001</v>
      </c>
      <c r="D128">
        <v>0.19159999999999999</v>
      </c>
      <c r="E128">
        <f t="shared" si="3"/>
        <v>0.29830000000000001</v>
      </c>
      <c r="F128">
        <f t="shared" si="4"/>
        <v>0</v>
      </c>
      <c r="G128">
        <f t="shared" si="5"/>
        <v>8.8982890000000009E-2</v>
      </c>
    </row>
    <row r="129" spans="1:7" x14ac:dyDescent="0.35">
      <c r="A129">
        <v>35.200000000000003</v>
      </c>
      <c r="B129">
        <v>0.33610000000000001</v>
      </c>
      <c r="C129">
        <v>0.3619</v>
      </c>
      <c r="D129">
        <v>0.19059999999999999</v>
      </c>
      <c r="E129">
        <f t="shared" si="3"/>
        <v>0.29619999999999996</v>
      </c>
      <c r="F129">
        <f t="shared" si="4"/>
        <v>0</v>
      </c>
      <c r="G129">
        <f t="shared" si="5"/>
        <v>8.7734439999999983E-2</v>
      </c>
    </row>
    <row r="130" spans="1:7" x14ac:dyDescent="0.35">
      <c r="A130">
        <v>36.799999999999997</v>
      </c>
      <c r="B130">
        <v>0.3332</v>
      </c>
      <c r="C130">
        <v>0.35959999999999998</v>
      </c>
      <c r="D130">
        <v>0.18959999999999999</v>
      </c>
      <c r="E130">
        <f t="shared" si="3"/>
        <v>0.2941333333333333</v>
      </c>
      <c r="F130">
        <f t="shared" si="4"/>
        <v>0</v>
      </c>
      <c r="G130">
        <f t="shared" si="5"/>
        <v>8.6514417777777755E-2</v>
      </c>
    </row>
    <row r="131" spans="1:7" x14ac:dyDescent="0.35">
      <c r="A131">
        <v>38.4</v>
      </c>
      <c r="B131">
        <v>0.3306</v>
      </c>
      <c r="C131">
        <v>0.35759999999999997</v>
      </c>
      <c r="D131">
        <v>0.18859999999999999</v>
      </c>
      <c r="E131">
        <f t="shared" ref="E131:E194" si="6">AVERAGE(B131:D131)</f>
        <v>0.29226666666666662</v>
      </c>
      <c r="F131">
        <f t="shared" ref="F131:F194" si="7">$J$2+$J$3*E131+$J$4*E131^2+$J$5*E131^3+$J$6*E131^4+$J$7*E131^5+$J$8*E131^6</f>
        <v>0</v>
      </c>
      <c r="G131">
        <f t="shared" ref="G131:G194" si="8">(E131-F131)^2</f>
        <v>8.5419804444444414E-2</v>
      </c>
    </row>
    <row r="132" spans="1:7" x14ac:dyDescent="0.35">
      <c r="A132">
        <v>40</v>
      </c>
      <c r="B132">
        <v>0.32779999999999998</v>
      </c>
      <c r="C132">
        <v>0.35539999999999999</v>
      </c>
      <c r="D132">
        <v>0.18779999999999999</v>
      </c>
      <c r="E132">
        <f t="shared" si="6"/>
        <v>0.29033333333333333</v>
      </c>
      <c r="F132">
        <f t="shared" si="7"/>
        <v>0</v>
      </c>
      <c r="G132">
        <f t="shared" si="8"/>
        <v>8.4293444444444449E-2</v>
      </c>
    </row>
    <row r="133" spans="1:7" x14ac:dyDescent="0.35">
      <c r="A133">
        <v>41.6</v>
      </c>
      <c r="B133">
        <v>0.32490000000000002</v>
      </c>
      <c r="C133">
        <v>0.35349999999999998</v>
      </c>
      <c r="D133">
        <v>0.187</v>
      </c>
      <c r="E133">
        <f t="shared" si="6"/>
        <v>0.28846666666666665</v>
      </c>
      <c r="F133">
        <f t="shared" si="7"/>
        <v>0</v>
      </c>
      <c r="G133">
        <f t="shared" si="8"/>
        <v>8.3213017777777773E-2</v>
      </c>
    </row>
    <row r="134" spans="1:7" x14ac:dyDescent="0.35">
      <c r="A134">
        <v>43.2</v>
      </c>
      <c r="B134">
        <v>0.3221</v>
      </c>
      <c r="C134">
        <v>0.35139999999999999</v>
      </c>
      <c r="D134">
        <v>0.18609999999999999</v>
      </c>
      <c r="E134">
        <f t="shared" si="6"/>
        <v>0.28653333333333331</v>
      </c>
      <c r="F134">
        <f t="shared" si="7"/>
        <v>0</v>
      </c>
      <c r="G134">
        <f t="shared" si="8"/>
        <v>8.2101351111111096E-2</v>
      </c>
    </row>
    <row r="135" spans="1:7" x14ac:dyDescent="0.35">
      <c r="A135">
        <v>44.8</v>
      </c>
      <c r="B135">
        <v>0.31969999999999998</v>
      </c>
      <c r="C135">
        <v>0.34939999999999999</v>
      </c>
      <c r="D135">
        <v>0.1852</v>
      </c>
      <c r="E135">
        <f t="shared" si="6"/>
        <v>0.28476666666666667</v>
      </c>
      <c r="F135">
        <f t="shared" si="7"/>
        <v>0</v>
      </c>
      <c r="G135">
        <f t="shared" si="8"/>
        <v>8.109205444444445E-2</v>
      </c>
    </row>
    <row r="136" spans="1:7" x14ac:dyDescent="0.35">
      <c r="A136">
        <v>46.4</v>
      </c>
      <c r="B136">
        <v>0.31730000000000003</v>
      </c>
      <c r="C136">
        <v>0.34760000000000002</v>
      </c>
      <c r="D136">
        <v>0.1845</v>
      </c>
      <c r="E136">
        <f t="shared" si="6"/>
        <v>0.28313333333333335</v>
      </c>
      <c r="F136">
        <f t="shared" si="7"/>
        <v>0</v>
      </c>
      <c r="G136">
        <f t="shared" si="8"/>
        <v>8.0164484444444448E-2</v>
      </c>
    </row>
    <row r="137" spans="1:7" x14ac:dyDescent="0.35">
      <c r="A137">
        <v>48</v>
      </c>
      <c r="B137">
        <v>0.31519999999999998</v>
      </c>
      <c r="C137">
        <v>0.34570000000000001</v>
      </c>
      <c r="D137">
        <v>0.18379999999999999</v>
      </c>
      <c r="E137">
        <f t="shared" si="6"/>
        <v>0.28156666666666669</v>
      </c>
      <c r="F137">
        <f t="shared" si="7"/>
        <v>0</v>
      </c>
      <c r="G137">
        <f t="shared" si="8"/>
        <v>7.9279787777777791E-2</v>
      </c>
    </row>
    <row r="138" spans="1:7" x14ac:dyDescent="0.35">
      <c r="A138">
        <v>49.6</v>
      </c>
      <c r="B138">
        <v>0.31309999999999999</v>
      </c>
      <c r="C138">
        <v>0.34389999999999998</v>
      </c>
      <c r="D138">
        <v>0.18310000000000001</v>
      </c>
      <c r="E138">
        <f t="shared" si="6"/>
        <v>0.28003333333333336</v>
      </c>
      <c r="F138">
        <f t="shared" si="7"/>
        <v>0</v>
      </c>
      <c r="G138">
        <f t="shared" si="8"/>
        <v>7.8418667777777784E-2</v>
      </c>
    </row>
    <row r="139" spans="1:7" x14ac:dyDescent="0.35">
      <c r="A139">
        <v>51.2</v>
      </c>
      <c r="B139">
        <v>0.31119999999999998</v>
      </c>
      <c r="C139">
        <v>0.34210000000000002</v>
      </c>
      <c r="D139">
        <v>0.18229999999999999</v>
      </c>
      <c r="E139">
        <f t="shared" si="6"/>
        <v>0.27853333333333335</v>
      </c>
      <c r="F139">
        <f t="shared" si="7"/>
        <v>0</v>
      </c>
      <c r="G139">
        <f t="shared" si="8"/>
        <v>7.7580817777777783E-2</v>
      </c>
    </row>
    <row r="140" spans="1:7" x14ac:dyDescent="0.35">
      <c r="A140">
        <v>54.4</v>
      </c>
      <c r="B140">
        <v>0.30740000000000001</v>
      </c>
      <c r="C140">
        <v>0.3392</v>
      </c>
      <c r="D140">
        <v>0.18090000000000001</v>
      </c>
      <c r="E140">
        <f t="shared" si="6"/>
        <v>0.27583333333333337</v>
      </c>
      <c r="F140">
        <f t="shared" si="7"/>
        <v>0</v>
      </c>
      <c r="G140">
        <f t="shared" si="8"/>
        <v>7.6084027777777799E-2</v>
      </c>
    </row>
    <row r="141" spans="1:7" x14ac:dyDescent="0.35">
      <c r="A141">
        <v>57.6</v>
      </c>
      <c r="B141">
        <v>0.30370000000000003</v>
      </c>
      <c r="C141">
        <v>0.33639999999999998</v>
      </c>
      <c r="D141">
        <v>0.1797</v>
      </c>
      <c r="E141">
        <f t="shared" si="6"/>
        <v>0.27326666666666666</v>
      </c>
      <c r="F141">
        <f t="shared" si="7"/>
        <v>0</v>
      </c>
      <c r="G141">
        <f t="shared" si="8"/>
        <v>7.4674671111111104E-2</v>
      </c>
    </row>
    <row r="142" spans="1:7" x14ac:dyDescent="0.35">
      <c r="A142">
        <v>60.8</v>
      </c>
      <c r="B142">
        <v>0.30020000000000002</v>
      </c>
      <c r="C142">
        <v>0.33350000000000002</v>
      </c>
      <c r="D142">
        <v>0.17860000000000001</v>
      </c>
      <c r="E142">
        <f t="shared" si="6"/>
        <v>0.27076666666666666</v>
      </c>
      <c r="F142">
        <f t="shared" si="7"/>
        <v>0</v>
      </c>
      <c r="G142">
        <f t="shared" si="8"/>
        <v>7.3314587777777773E-2</v>
      </c>
    </row>
    <row r="143" spans="1:7" x14ac:dyDescent="0.35">
      <c r="A143">
        <v>64</v>
      </c>
      <c r="B143">
        <v>0.2969</v>
      </c>
      <c r="C143">
        <v>0.33090000000000003</v>
      </c>
      <c r="D143">
        <v>0.17749999999999999</v>
      </c>
      <c r="E143">
        <f t="shared" si="6"/>
        <v>0.26843333333333336</v>
      </c>
      <c r="F143">
        <f t="shared" si="7"/>
        <v>0</v>
      </c>
      <c r="G143">
        <f t="shared" si="8"/>
        <v>7.2056454444444459E-2</v>
      </c>
    </row>
    <row r="144" spans="1:7" x14ac:dyDescent="0.35">
      <c r="A144">
        <v>67.2</v>
      </c>
      <c r="B144">
        <v>0.29370000000000002</v>
      </c>
      <c r="C144">
        <v>0.32829999999999998</v>
      </c>
      <c r="D144">
        <v>0.17649999999999999</v>
      </c>
      <c r="E144">
        <f t="shared" si="6"/>
        <v>0.26616666666666666</v>
      </c>
      <c r="F144">
        <f t="shared" si="7"/>
        <v>0</v>
      </c>
      <c r="G144">
        <f t="shared" si="8"/>
        <v>7.0844694444444439E-2</v>
      </c>
    </row>
    <row r="145" spans="1:7" x14ac:dyDescent="0.35">
      <c r="A145">
        <v>70.400000000000006</v>
      </c>
      <c r="B145">
        <v>0.2903</v>
      </c>
      <c r="C145">
        <v>0.32600000000000001</v>
      </c>
      <c r="D145">
        <v>0.1754</v>
      </c>
      <c r="E145">
        <f t="shared" si="6"/>
        <v>0.26390000000000002</v>
      </c>
      <c r="F145">
        <f t="shared" si="7"/>
        <v>0</v>
      </c>
      <c r="G145">
        <f t="shared" si="8"/>
        <v>6.9643210000000011E-2</v>
      </c>
    </row>
    <row r="146" spans="1:7" x14ac:dyDescent="0.35">
      <c r="A146">
        <v>73.599999999999994</v>
      </c>
      <c r="B146">
        <v>0.28720000000000001</v>
      </c>
      <c r="C146">
        <v>0.32350000000000001</v>
      </c>
      <c r="D146">
        <v>0.1744</v>
      </c>
      <c r="E146">
        <f t="shared" si="6"/>
        <v>0.26169999999999999</v>
      </c>
      <c r="F146">
        <f t="shared" si="7"/>
        <v>0</v>
      </c>
      <c r="G146">
        <f t="shared" si="8"/>
        <v>6.8486889999999995E-2</v>
      </c>
    </row>
    <row r="147" spans="1:7" x14ac:dyDescent="0.35">
      <c r="A147">
        <v>76.8</v>
      </c>
      <c r="B147">
        <v>0.28449999999999998</v>
      </c>
      <c r="C147">
        <v>0.32119999999999999</v>
      </c>
      <c r="D147">
        <v>0.1734</v>
      </c>
      <c r="E147">
        <f t="shared" si="6"/>
        <v>0.25969999999999999</v>
      </c>
      <c r="F147">
        <f t="shared" si="7"/>
        <v>0</v>
      </c>
      <c r="G147">
        <f t="shared" si="8"/>
        <v>6.7444089999999998E-2</v>
      </c>
    </row>
    <row r="148" spans="1:7" x14ac:dyDescent="0.35">
      <c r="A148">
        <v>80</v>
      </c>
      <c r="B148">
        <v>0.28189999999999998</v>
      </c>
      <c r="C148">
        <v>0.31900000000000001</v>
      </c>
      <c r="D148">
        <v>0.17249999999999999</v>
      </c>
      <c r="E148">
        <f t="shared" si="6"/>
        <v>0.25779999999999997</v>
      </c>
      <c r="F148">
        <f t="shared" si="7"/>
        <v>0</v>
      </c>
      <c r="G148">
        <f t="shared" si="8"/>
        <v>6.6460839999999993E-2</v>
      </c>
    </row>
    <row r="149" spans="1:7" x14ac:dyDescent="0.35">
      <c r="A149">
        <v>83.2</v>
      </c>
      <c r="B149">
        <v>0.27939999999999998</v>
      </c>
      <c r="C149">
        <v>0.317</v>
      </c>
      <c r="D149">
        <v>0.17169999999999999</v>
      </c>
      <c r="E149">
        <f t="shared" si="6"/>
        <v>0.25603333333333333</v>
      </c>
      <c r="F149">
        <f t="shared" si="7"/>
        <v>0</v>
      </c>
      <c r="G149">
        <f t="shared" si="8"/>
        <v>6.5553067777777779E-2</v>
      </c>
    </row>
    <row r="150" spans="1:7" x14ac:dyDescent="0.35">
      <c r="A150">
        <v>86.4</v>
      </c>
      <c r="B150">
        <v>0.27660000000000001</v>
      </c>
      <c r="C150">
        <v>0.31490000000000001</v>
      </c>
      <c r="D150">
        <v>0.17080000000000001</v>
      </c>
      <c r="E150">
        <f t="shared" si="6"/>
        <v>0.25409999999999999</v>
      </c>
      <c r="F150">
        <f t="shared" si="7"/>
        <v>0</v>
      </c>
      <c r="G150">
        <f t="shared" si="8"/>
        <v>6.4566810000000002E-2</v>
      </c>
    </row>
    <row r="151" spans="1:7" x14ac:dyDescent="0.35">
      <c r="A151">
        <v>89.6</v>
      </c>
      <c r="B151">
        <v>0.27429999999999999</v>
      </c>
      <c r="C151">
        <v>0.313</v>
      </c>
      <c r="D151">
        <v>0.17</v>
      </c>
      <c r="E151">
        <f t="shared" si="6"/>
        <v>0.25243333333333334</v>
      </c>
      <c r="F151">
        <f t="shared" si="7"/>
        <v>0</v>
      </c>
      <c r="G151">
        <f t="shared" si="8"/>
        <v>6.3722587777777784E-2</v>
      </c>
    </row>
    <row r="152" spans="1:7" x14ac:dyDescent="0.35">
      <c r="A152">
        <v>92.8</v>
      </c>
      <c r="B152">
        <v>0.27189999999999998</v>
      </c>
      <c r="C152">
        <v>0.311</v>
      </c>
      <c r="D152">
        <v>0.1691</v>
      </c>
      <c r="E152">
        <f t="shared" si="6"/>
        <v>0.25066666666666665</v>
      </c>
      <c r="F152">
        <f t="shared" si="7"/>
        <v>0</v>
      </c>
      <c r="G152">
        <f t="shared" si="8"/>
        <v>6.2833777777777766E-2</v>
      </c>
    </row>
    <row r="153" spans="1:7" x14ac:dyDescent="0.35">
      <c r="A153">
        <v>96</v>
      </c>
      <c r="B153">
        <v>0.26950000000000002</v>
      </c>
      <c r="C153">
        <v>0.30919999999999997</v>
      </c>
      <c r="D153">
        <v>0.16839999999999999</v>
      </c>
      <c r="E153">
        <f t="shared" si="6"/>
        <v>0.24903333333333333</v>
      </c>
      <c r="F153">
        <f t="shared" si="7"/>
        <v>0</v>
      </c>
      <c r="G153">
        <f t="shared" si="8"/>
        <v>6.2017601111111112E-2</v>
      </c>
    </row>
    <row r="154" spans="1:7" x14ac:dyDescent="0.35">
      <c r="A154">
        <v>99.2</v>
      </c>
      <c r="B154">
        <v>0.26700000000000002</v>
      </c>
      <c r="C154">
        <v>0.30740000000000001</v>
      </c>
      <c r="D154">
        <v>0.1676</v>
      </c>
      <c r="E154">
        <f t="shared" si="6"/>
        <v>0.24733333333333332</v>
      </c>
      <c r="F154">
        <f t="shared" si="7"/>
        <v>0</v>
      </c>
      <c r="G154">
        <f t="shared" si="8"/>
        <v>6.1173777777777771E-2</v>
      </c>
    </row>
    <row r="155" spans="1:7" x14ac:dyDescent="0.35">
      <c r="A155">
        <v>102.4</v>
      </c>
      <c r="B155">
        <v>0.26469999999999999</v>
      </c>
      <c r="C155">
        <v>0.30580000000000002</v>
      </c>
      <c r="D155">
        <v>0.16689999999999999</v>
      </c>
      <c r="E155">
        <f t="shared" si="6"/>
        <v>0.24580000000000002</v>
      </c>
      <c r="F155">
        <f t="shared" si="7"/>
        <v>0</v>
      </c>
      <c r="G155">
        <f t="shared" si="8"/>
        <v>6.0417640000000009E-2</v>
      </c>
    </row>
    <row r="156" spans="1:7" x14ac:dyDescent="0.35">
      <c r="A156">
        <v>108.8</v>
      </c>
      <c r="B156">
        <v>0.26090000000000002</v>
      </c>
      <c r="C156">
        <v>0.30230000000000001</v>
      </c>
      <c r="D156">
        <v>0.16550000000000001</v>
      </c>
      <c r="E156">
        <f t="shared" si="6"/>
        <v>0.2429</v>
      </c>
      <c r="F156">
        <f t="shared" si="7"/>
        <v>0</v>
      </c>
      <c r="G156">
        <f t="shared" si="8"/>
        <v>5.9000410000000003E-2</v>
      </c>
    </row>
    <row r="157" spans="1:7" x14ac:dyDescent="0.35">
      <c r="A157">
        <v>115.2</v>
      </c>
      <c r="B157">
        <v>0.25700000000000001</v>
      </c>
      <c r="C157">
        <v>0.2989</v>
      </c>
      <c r="D157">
        <v>0.16420000000000001</v>
      </c>
      <c r="E157">
        <f t="shared" si="6"/>
        <v>0.24003333333333335</v>
      </c>
      <c r="F157">
        <f t="shared" si="7"/>
        <v>0</v>
      </c>
      <c r="G157">
        <f t="shared" si="8"/>
        <v>5.761600111111112E-2</v>
      </c>
    </row>
    <row r="158" spans="1:7" x14ac:dyDescent="0.35">
      <c r="A158">
        <v>121.6</v>
      </c>
      <c r="B158">
        <v>0.253</v>
      </c>
      <c r="C158">
        <v>0.29570000000000002</v>
      </c>
      <c r="D158">
        <v>0.1628</v>
      </c>
      <c r="E158">
        <f t="shared" si="6"/>
        <v>0.23716666666666666</v>
      </c>
      <c r="F158">
        <f t="shared" si="7"/>
        <v>0</v>
      </c>
      <c r="G158">
        <f t="shared" si="8"/>
        <v>5.6248027777777779E-2</v>
      </c>
    </row>
    <row r="159" spans="1:7" x14ac:dyDescent="0.35">
      <c r="A159">
        <v>128</v>
      </c>
      <c r="B159">
        <v>0.24929999999999999</v>
      </c>
      <c r="C159">
        <v>0.2928</v>
      </c>
      <c r="D159">
        <v>0.1615</v>
      </c>
      <c r="E159">
        <f t="shared" si="6"/>
        <v>0.23453333333333334</v>
      </c>
      <c r="F159">
        <f t="shared" si="7"/>
        <v>0</v>
      </c>
      <c r="G159">
        <f t="shared" si="8"/>
        <v>5.5005884444444451E-2</v>
      </c>
    </row>
    <row r="160" spans="1:7" x14ac:dyDescent="0.35">
      <c r="A160">
        <v>134.4</v>
      </c>
      <c r="B160">
        <v>0.2457</v>
      </c>
      <c r="C160">
        <v>0.2898</v>
      </c>
      <c r="D160">
        <v>0.16020000000000001</v>
      </c>
      <c r="E160">
        <f t="shared" si="6"/>
        <v>0.2319</v>
      </c>
      <c r="F160">
        <f t="shared" si="7"/>
        <v>0</v>
      </c>
      <c r="G160">
        <f t="shared" si="8"/>
        <v>5.3777609999999997E-2</v>
      </c>
    </row>
    <row r="161" spans="1:7" x14ac:dyDescent="0.35">
      <c r="A161">
        <v>140.80000000000001</v>
      </c>
      <c r="B161">
        <v>0.2424</v>
      </c>
      <c r="C161">
        <v>0.28710000000000002</v>
      </c>
      <c r="D161">
        <v>0.15909999999999999</v>
      </c>
      <c r="E161">
        <f t="shared" si="6"/>
        <v>0.22953333333333337</v>
      </c>
      <c r="F161">
        <f t="shared" si="7"/>
        <v>0</v>
      </c>
      <c r="G161">
        <f t="shared" si="8"/>
        <v>5.2685551111111124E-2</v>
      </c>
    </row>
    <row r="162" spans="1:7" x14ac:dyDescent="0.35">
      <c r="A162">
        <v>147.19999999999999</v>
      </c>
      <c r="B162">
        <v>0.2392</v>
      </c>
      <c r="C162">
        <v>0.28449999999999998</v>
      </c>
      <c r="D162">
        <v>0.15809999999999999</v>
      </c>
      <c r="E162">
        <f t="shared" si="6"/>
        <v>0.22726666666666664</v>
      </c>
      <c r="F162">
        <f t="shared" si="7"/>
        <v>0</v>
      </c>
      <c r="G162">
        <f t="shared" si="8"/>
        <v>5.1650137777777765E-2</v>
      </c>
    </row>
    <row r="163" spans="1:7" x14ac:dyDescent="0.35">
      <c r="A163">
        <v>153.6</v>
      </c>
      <c r="B163">
        <v>0.2361</v>
      </c>
      <c r="C163">
        <v>0.28210000000000002</v>
      </c>
      <c r="D163">
        <v>0.15709999999999999</v>
      </c>
      <c r="E163">
        <f t="shared" si="6"/>
        <v>0.22509999999999999</v>
      </c>
      <c r="F163">
        <f t="shared" si="7"/>
        <v>0</v>
      </c>
      <c r="G163">
        <f t="shared" si="8"/>
        <v>5.0670009999999994E-2</v>
      </c>
    </row>
    <row r="164" spans="1:7" x14ac:dyDescent="0.35">
      <c r="A164">
        <v>160</v>
      </c>
      <c r="B164">
        <v>0.2331</v>
      </c>
      <c r="C164">
        <v>0.2797</v>
      </c>
      <c r="D164">
        <v>0.15620000000000001</v>
      </c>
      <c r="E164">
        <f t="shared" si="6"/>
        <v>0.223</v>
      </c>
      <c r="F164">
        <f t="shared" si="7"/>
        <v>0</v>
      </c>
      <c r="G164">
        <f t="shared" si="8"/>
        <v>4.9729000000000002E-2</v>
      </c>
    </row>
    <row r="165" spans="1:7" x14ac:dyDescent="0.35">
      <c r="A165">
        <v>166.4</v>
      </c>
      <c r="B165">
        <v>0.2301</v>
      </c>
      <c r="C165">
        <v>0.27739999999999998</v>
      </c>
      <c r="D165">
        <v>0.1552</v>
      </c>
      <c r="E165">
        <f t="shared" si="6"/>
        <v>0.22089999999999999</v>
      </c>
      <c r="F165">
        <f t="shared" si="7"/>
        <v>0</v>
      </c>
      <c r="G165">
        <f t="shared" si="8"/>
        <v>4.8796809999999996E-2</v>
      </c>
    </row>
    <row r="166" spans="1:7" x14ac:dyDescent="0.35">
      <c r="A166">
        <v>172.8</v>
      </c>
      <c r="B166">
        <v>0.22739999999999999</v>
      </c>
      <c r="C166">
        <v>0.27539999999999998</v>
      </c>
      <c r="D166">
        <v>0.15429999999999999</v>
      </c>
      <c r="E166">
        <f t="shared" si="6"/>
        <v>0.2190333333333333</v>
      </c>
      <c r="F166">
        <f t="shared" si="7"/>
        <v>0</v>
      </c>
      <c r="G166">
        <f t="shared" si="8"/>
        <v>4.7975601111111099E-2</v>
      </c>
    </row>
    <row r="167" spans="1:7" x14ac:dyDescent="0.35">
      <c r="A167">
        <v>179.2</v>
      </c>
      <c r="B167">
        <v>0.22470000000000001</v>
      </c>
      <c r="C167">
        <v>0.2732</v>
      </c>
      <c r="D167">
        <v>0.15340000000000001</v>
      </c>
      <c r="E167">
        <f t="shared" si="6"/>
        <v>0.21709999999999999</v>
      </c>
      <c r="F167">
        <f t="shared" si="7"/>
        <v>0</v>
      </c>
      <c r="G167">
        <f t="shared" si="8"/>
        <v>4.7132409999999993E-2</v>
      </c>
    </row>
    <row r="168" spans="1:7" x14ac:dyDescent="0.35">
      <c r="A168">
        <v>185.6</v>
      </c>
      <c r="B168">
        <v>0.2225</v>
      </c>
      <c r="C168">
        <v>0.27100000000000002</v>
      </c>
      <c r="D168">
        <v>0.1525</v>
      </c>
      <c r="E168">
        <f t="shared" si="6"/>
        <v>0.21533333333333335</v>
      </c>
      <c r="F168">
        <f t="shared" si="7"/>
        <v>0</v>
      </c>
      <c r="G168">
        <f t="shared" si="8"/>
        <v>4.6368444444444448E-2</v>
      </c>
    </row>
    <row r="169" spans="1:7" x14ac:dyDescent="0.35">
      <c r="A169">
        <v>192</v>
      </c>
      <c r="B169">
        <v>0.2203</v>
      </c>
      <c r="C169">
        <v>0.26879999999999998</v>
      </c>
      <c r="D169">
        <v>0.15160000000000001</v>
      </c>
      <c r="E169">
        <f t="shared" si="6"/>
        <v>0.21356666666666668</v>
      </c>
      <c r="F169">
        <f t="shared" si="7"/>
        <v>0</v>
      </c>
      <c r="G169">
        <f t="shared" si="8"/>
        <v>4.561072111111112E-2</v>
      </c>
    </row>
    <row r="170" spans="1:7" x14ac:dyDescent="0.35">
      <c r="A170">
        <v>198.4</v>
      </c>
      <c r="B170">
        <v>0.21809999999999999</v>
      </c>
      <c r="C170">
        <v>0.26690000000000003</v>
      </c>
      <c r="D170">
        <v>0.15079999999999999</v>
      </c>
      <c r="E170">
        <f t="shared" si="6"/>
        <v>0.21193333333333331</v>
      </c>
      <c r="F170">
        <f t="shared" si="7"/>
        <v>0</v>
      </c>
      <c r="G170">
        <f t="shared" si="8"/>
        <v>4.491573777777777E-2</v>
      </c>
    </row>
    <row r="171" spans="1:7" x14ac:dyDescent="0.35">
      <c r="A171">
        <v>204.8</v>
      </c>
      <c r="B171">
        <v>0.21579999999999999</v>
      </c>
      <c r="C171">
        <v>0.26519999999999999</v>
      </c>
      <c r="D171">
        <v>0.15010000000000001</v>
      </c>
      <c r="E171">
        <f t="shared" si="6"/>
        <v>0.21036666666666667</v>
      </c>
      <c r="F171">
        <f t="shared" si="7"/>
        <v>0</v>
      </c>
      <c r="G171">
        <f t="shared" si="8"/>
        <v>4.4254134444444447E-2</v>
      </c>
    </row>
    <row r="172" spans="1:7" x14ac:dyDescent="0.35">
      <c r="A172">
        <v>217.6</v>
      </c>
      <c r="B172">
        <v>0.2114</v>
      </c>
      <c r="C172">
        <v>0.26169999999999999</v>
      </c>
      <c r="D172">
        <v>0.1487</v>
      </c>
      <c r="E172">
        <f t="shared" si="6"/>
        <v>0.20726666666666663</v>
      </c>
      <c r="F172">
        <f t="shared" si="7"/>
        <v>0</v>
      </c>
      <c r="G172">
        <f t="shared" si="8"/>
        <v>4.2959471111111092E-2</v>
      </c>
    </row>
    <row r="173" spans="1:7" x14ac:dyDescent="0.35">
      <c r="A173">
        <v>230.4</v>
      </c>
      <c r="B173">
        <v>0.2074</v>
      </c>
      <c r="C173">
        <v>0.25850000000000001</v>
      </c>
      <c r="D173">
        <v>0.14729999999999999</v>
      </c>
      <c r="E173">
        <f t="shared" si="6"/>
        <v>0.2044</v>
      </c>
      <c r="F173">
        <f t="shared" si="7"/>
        <v>0</v>
      </c>
      <c r="G173">
        <f t="shared" si="8"/>
        <v>4.1779360000000001E-2</v>
      </c>
    </row>
    <row r="174" spans="1:7" x14ac:dyDescent="0.35">
      <c r="A174">
        <v>243.2</v>
      </c>
      <c r="B174">
        <v>0.2036</v>
      </c>
      <c r="C174">
        <v>0.25540000000000002</v>
      </c>
      <c r="D174">
        <v>0.14599999999999999</v>
      </c>
      <c r="E174">
        <f t="shared" si="6"/>
        <v>0.20166666666666666</v>
      </c>
      <c r="F174">
        <f t="shared" si="7"/>
        <v>0</v>
      </c>
      <c r="G174">
        <f t="shared" si="8"/>
        <v>4.0669444444444439E-2</v>
      </c>
    </row>
    <row r="175" spans="1:7" x14ac:dyDescent="0.35">
      <c r="A175">
        <v>256</v>
      </c>
      <c r="B175">
        <v>0.2</v>
      </c>
      <c r="C175">
        <v>0.25259999999999999</v>
      </c>
      <c r="D175">
        <v>0.14480000000000001</v>
      </c>
      <c r="E175">
        <f t="shared" si="6"/>
        <v>0.19913333333333336</v>
      </c>
      <c r="F175">
        <f t="shared" si="7"/>
        <v>0</v>
      </c>
      <c r="G175">
        <f t="shared" si="8"/>
        <v>3.9654084444444453E-2</v>
      </c>
    </row>
    <row r="176" spans="1:7" x14ac:dyDescent="0.35">
      <c r="A176">
        <v>268.8</v>
      </c>
      <c r="B176">
        <v>0.19670000000000001</v>
      </c>
      <c r="C176">
        <v>0.24979999999999999</v>
      </c>
      <c r="D176">
        <v>0.14360000000000001</v>
      </c>
      <c r="E176">
        <f t="shared" si="6"/>
        <v>0.19670000000000001</v>
      </c>
      <c r="F176">
        <f t="shared" si="7"/>
        <v>0</v>
      </c>
      <c r="G176">
        <f t="shared" si="8"/>
        <v>3.8690890000000006E-2</v>
      </c>
    </row>
    <row r="177" spans="1:7" x14ac:dyDescent="0.35">
      <c r="A177">
        <v>281.60000000000002</v>
      </c>
      <c r="B177">
        <v>0.1938</v>
      </c>
      <c r="C177">
        <v>0.24729999999999999</v>
      </c>
      <c r="D177">
        <v>0.14249999999999999</v>
      </c>
      <c r="E177">
        <f t="shared" si="6"/>
        <v>0.19453333333333334</v>
      </c>
      <c r="F177">
        <f t="shared" si="7"/>
        <v>0</v>
      </c>
      <c r="G177">
        <f t="shared" si="8"/>
        <v>3.7843217777777778E-2</v>
      </c>
    </row>
    <row r="178" spans="1:7" x14ac:dyDescent="0.35">
      <c r="A178">
        <v>294.39999999999998</v>
      </c>
      <c r="B178">
        <v>0.19089999999999999</v>
      </c>
      <c r="C178">
        <v>0.24490000000000001</v>
      </c>
      <c r="D178">
        <v>0.14130000000000001</v>
      </c>
      <c r="E178">
        <f t="shared" si="6"/>
        <v>0.19236666666666666</v>
      </c>
      <c r="F178">
        <f t="shared" si="7"/>
        <v>0</v>
      </c>
      <c r="G178">
        <f t="shared" si="8"/>
        <v>3.7004934444444443E-2</v>
      </c>
    </row>
    <row r="179" spans="1:7" x14ac:dyDescent="0.35">
      <c r="A179">
        <v>307.2</v>
      </c>
      <c r="B179">
        <v>0.188</v>
      </c>
      <c r="C179">
        <v>0.24260000000000001</v>
      </c>
      <c r="D179">
        <v>0.1404</v>
      </c>
      <c r="E179">
        <f t="shared" si="6"/>
        <v>0.19033333333333333</v>
      </c>
      <c r="F179">
        <f t="shared" si="7"/>
        <v>0</v>
      </c>
      <c r="G179">
        <f t="shared" si="8"/>
        <v>3.6226777777777774E-2</v>
      </c>
    </row>
    <row r="180" spans="1:7" x14ac:dyDescent="0.35">
      <c r="A180">
        <v>320</v>
      </c>
      <c r="B180">
        <v>0.1852</v>
      </c>
      <c r="C180">
        <v>0.24049999999999999</v>
      </c>
      <c r="D180">
        <v>0.13950000000000001</v>
      </c>
      <c r="E180">
        <f t="shared" si="6"/>
        <v>0.18839999999999998</v>
      </c>
      <c r="F180">
        <f t="shared" si="7"/>
        <v>0</v>
      </c>
      <c r="G180">
        <f t="shared" si="8"/>
        <v>3.5494559999999994E-2</v>
      </c>
    </row>
    <row r="181" spans="1:7" x14ac:dyDescent="0.35">
      <c r="A181">
        <v>332.8</v>
      </c>
      <c r="B181">
        <v>0.18260000000000001</v>
      </c>
      <c r="C181">
        <v>0.2384</v>
      </c>
      <c r="D181">
        <v>0.1386</v>
      </c>
      <c r="E181">
        <f t="shared" si="6"/>
        <v>0.18653333333333336</v>
      </c>
      <c r="F181">
        <f t="shared" si="7"/>
        <v>0</v>
      </c>
      <c r="G181">
        <f t="shared" si="8"/>
        <v>3.4794684444444453E-2</v>
      </c>
    </row>
    <row r="182" spans="1:7" x14ac:dyDescent="0.35">
      <c r="A182">
        <v>345.6</v>
      </c>
      <c r="B182">
        <v>0.18029999999999999</v>
      </c>
      <c r="C182">
        <v>0.23649999999999999</v>
      </c>
      <c r="D182">
        <v>0.13780000000000001</v>
      </c>
      <c r="E182">
        <f t="shared" si="6"/>
        <v>0.18486666666666665</v>
      </c>
      <c r="F182">
        <f t="shared" si="7"/>
        <v>0</v>
      </c>
      <c r="G182">
        <f t="shared" si="8"/>
        <v>3.4175684444444437E-2</v>
      </c>
    </row>
    <row r="183" spans="1:7" x14ac:dyDescent="0.35">
      <c r="A183">
        <v>358.4</v>
      </c>
      <c r="B183">
        <v>0.17829999999999999</v>
      </c>
      <c r="C183">
        <v>0.23480000000000001</v>
      </c>
      <c r="D183">
        <v>0.13700000000000001</v>
      </c>
      <c r="E183">
        <f t="shared" si="6"/>
        <v>0.18336666666666668</v>
      </c>
      <c r="F183">
        <f t="shared" si="7"/>
        <v>0</v>
      </c>
      <c r="G183">
        <f t="shared" si="8"/>
        <v>3.3623334444444451E-2</v>
      </c>
    </row>
    <row r="184" spans="1:7" x14ac:dyDescent="0.35">
      <c r="A184">
        <v>371.2</v>
      </c>
      <c r="B184">
        <v>0.17630000000000001</v>
      </c>
      <c r="C184">
        <v>0.2331</v>
      </c>
      <c r="D184">
        <v>0.1363</v>
      </c>
      <c r="E184">
        <f t="shared" si="6"/>
        <v>0.18189999999999998</v>
      </c>
      <c r="F184">
        <f t="shared" si="7"/>
        <v>0</v>
      </c>
      <c r="G184">
        <f t="shared" si="8"/>
        <v>3.308760999999999E-2</v>
      </c>
    </row>
    <row r="185" spans="1:7" x14ac:dyDescent="0.35">
      <c r="A185">
        <v>384</v>
      </c>
      <c r="B185">
        <v>0.1744</v>
      </c>
      <c r="C185">
        <v>0.23139999999999999</v>
      </c>
      <c r="D185">
        <v>0.13550000000000001</v>
      </c>
      <c r="E185">
        <f t="shared" si="6"/>
        <v>0.18043333333333333</v>
      </c>
      <c r="F185">
        <f t="shared" si="7"/>
        <v>0</v>
      </c>
      <c r="G185">
        <f t="shared" si="8"/>
        <v>3.255618777777778E-2</v>
      </c>
    </row>
    <row r="186" spans="1:7" x14ac:dyDescent="0.35">
      <c r="A186">
        <v>396.8</v>
      </c>
      <c r="B186">
        <v>0.17249999999999999</v>
      </c>
      <c r="C186">
        <v>0.2298</v>
      </c>
      <c r="D186">
        <v>0.1348</v>
      </c>
      <c r="E186">
        <f t="shared" si="6"/>
        <v>0.17903333333333335</v>
      </c>
      <c r="F186">
        <f t="shared" si="7"/>
        <v>0</v>
      </c>
      <c r="G186">
        <f t="shared" si="8"/>
        <v>3.2052934444444452E-2</v>
      </c>
    </row>
    <row r="187" spans="1:7" x14ac:dyDescent="0.35">
      <c r="A187">
        <v>409.6</v>
      </c>
      <c r="B187">
        <v>0.17080000000000001</v>
      </c>
      <c r="C187">
        <v>0.22839999999999999</v>
      </c>
      <c r="D187">
        <v>0.13420000000000001</v>
      </c>
      <c r="E187">
        <f t="shared" si="6"/>
        <v>0.17779999999999999</v>
      </c>
      <c r="F187">
        <f t="shared" si="7"/>
        <v>0</v>
      </c>
      <c r="G187">
        <f t="shared" si="8"/>
        <v>3.1612839999999996E-2</v>
      </c>
    </row>
    <row r="188" spans="1:7" x14ac:dyDescent="0.35">
      <c r="A188">
        <v>435.2</v>
      </c>
      <c r="B188">
        <v>0.16739999999999999</v>
      </c>
      <c r="C188">
        <v>0.22559999999999999</v>
      </c>
      <c r="D188">
        <v>0.13300000000000001</v>
      </c>
      <c r="E188">
        <f t="shared" si="6"/>
        <v>0.17533333333333334</v>
      </c>
      <c r="F188">
        <f t="shared" si="7"/>
        <v>0</v>
      </c>
      <c r="G188">
        <f t="shared" si="8"/>
        <v>3.0741777777777781E-2</v>
      </c>
    </row>
    <row r="189" spans="1:7" x14ac:dyDescent="0.35">
      <c r="A189">
        <v>460.8</v>
      </c>
      <c r="B189">
        <v>0.1641</v>
      </c>
      <c r="C189">
        <v>0.223</v>
      </c>
      <c r="D189">
        <v>0.1318</v>
      </c>
      <c r="E189">
        <f t="shared" si="6"/>
        <v>0.17296666666666669</v>
      </c>
      <c r="F189">
        <f t="shared" si="7"/>
        <v>0</v>
      </c>
      <c r="G189">
        <f t="shared" si="8"/>
        <v>2.9917467777777783E-2</v>
      </c>
    </row>
    <row r="190" spans="1:7" x14ac:dyDescent="0.35">
      <c r="A190">
        <v>486.4</v>
      </c>
      <c r="B190">
        <v>0.16109999999999999</v>
      </c>
      <c r="C190">
        <v>0.22040000000000001</v>
      </c>
      <c r="D190">
        <v>0.13070000000000001</v>
      </c>
      <c r="E190">
        <f t="shared" si="6"/>
        <v>0.17073333333333332</v>
      </c>
      <c r="F190">
        <f t="shared" si="7"/>
        <v>0</v>
      </c>
      <c r="G190">
        <f t="shared" si="8"/>
        <v>2.9149871111111107E-2</v>
      </c>
    </row>
    <row r="191" spans="1:7" x14ac:dyDescent="0.35">
      <c r="A191">
        <v>512</v>
      </c>
      <c r="B191">
        <v>0.15820000000000001</v>
      </c>
      <c r="C191">
        <v>0.21809999999999999</v>
      </c>
      <c r="D191">
        <v>0.12970000000000001</v>
      </c>
      <c r="E191">
        <f t="shared" si="6"/>
        <v>0.16866666666666666</v>
      </c>
      <c r="F191">
        <f t="shared" si="7"/>
        <v>0</v>
      </c>
      <c r="G191">
        <f t="shared" si="8"/>
        <v>2.8448444444444443E-2</v>
      </c>
    </row>
    <row r="192" spans="1:7" x14ac:dyDescent="0.35">
      <c r="A192">
        <v>537.6</v>
      </c>
      <c r="B192">
        <v>0.15559999999999999</v>
      </c>
      <c r="C192">
        <v>0.21579999999999999</v>
      </c>
      <c r="D192">
        <v>0.12870000000000001</v>
      </c>
      <c r="E192">
        <f t="shared" si="6"/>
        <v>0.16669999999999999</v>
      </c>
      <c r="F192">
        <f t="shared" si="7"/>
        <v>0</v>
      </c>
      <c r="G192">
        <f t="shared" si="8"/>
        <v>2.7788889999999997E-2</v>
      </c>
    </row>
    <row r="193" spans="1:7" x14ac:dyDescent="0.35">
      <c r="A193">
        <v>563.20000000000005</v>
      </c>
      <c r="B193">
        <v>0.15310000000000001</v>
      </c>
      <c r="C193">
        <v>0.21360000000000001</v>
      </c>
      <c r="D193">
        <v>0.12770000000000001</v>
      </c>
      <c r="E193">
        <f t="shared" si="6"/>
        <v>0.16480000000000003</v>
      </c>
      <c r="F193">
        <f t="shared" si="7"/>
        <v>0</v>
      </c>
      <c r="G193">
        <f t="shared" si="8"/>
        <v>2.7159040000000009E-2</v>
      </c>
    </row>
    <row r="194" spans="1:7" x14ac:dyDescent="0.35">
      <c r="A194">
        <v>588.79999999999995</v>
      </c>
      <c r="B194">
        <v>0.15079999999999999</v>
      </c>
      <c r="C194">
        <v>0.2117</v>
      </c>
      <c r="D194">
        <v>0.12690000000000001</v>
      </c>
      <c r="E194">
        <f t="shared" si="6"/>
        <v>0.16313333333333332</v>
      </c>
      <c r="F194">
        <f t="shared" si="7"/>
        <v>0</v>
      </c>
      <c r="G194">
        <f t="shared" si="8"/>
        <v>2.6612484444444442E-2</v>
      </c>
    </row>
    <row r="195" spans="1:7" x14ac:dyDescent="0.35">
      <c r="A195">
        <v>614.4</v>
      </c>
      <c r="B195">
        <v>0.14879999999999999</v>
      </c>
      <c r="C195">
        <v>0.21</v>
      </c>
      <c r="D195">
        <v>0.12609999999999999</v>
      </c>
      <c r="E195">
        <f t="shared" ref="E195:E258" si="9">AVERAGE(B195:D195)</f>
        <v>0.16163333333333332</v>
      </c>
      <c r="F195">
        <f t="shared" ref="F195:F258" si="10">$J$2+$J$3*E195+$J$4*E195^2+$J$5*E195^3+$J$6*E195^4+$J$7*E195^5+$J$8*E195^6</f>
        <v>0</v>
      </c>
      <c r="G195">
        <f t="shared" ref="G195:G258" si="11">(E195-F195)^2</f>
        <v>2.612533444444444E-2</v>
      </c>
    </row>
    <row r="196" spans="1:7" x14ac:dyDescent="0.35">
      <c r="A196">
        <v>640</v>
      </c>
      <c r="B196">
        <v>0.14699999999999999</v>
      </c>
      <c r="C196">
        <v>0.2084</v>
      </c>
      <c r="D196">
        <v>0.12540000000000001</v>
      </c>
      <c r="E196">
        <f t="shared" si="9"/>
        <v>0.16026666666666667</v>
      </c>
      <c r="F196">
        <f t="shared" si="10"/>
        <v>0</v>
      </c>
      <c r="G196">
        <f t="shared" si="11"/>
        <v>2.5685404444444445E-2</v>
      </c>
    </row>
    <row r="197" spans="1:7" x14ac:dyDescent="0.35">
      <c r="A197">
        <v>665.6</v>
      </c>
      <c r="B197">
        <v>0.1454</v>
      </c>
      <c r="C197">
        <v>0.2069</v>
      </c>
      <c r="D197">
        <v>0.12470000000000001</v>
      </c>
      <c r="E197">
        <f t="shared" si="9"/>
        <v>0.159</v>
      </c>
      <c r="F197">
        <f t="shared" si="10"/>
        <v>0</v>
      </c>
      <c r="G197">
        <f t="shared" si="11"/>
        <v>2.5281000000000001E-2</v>
      </c>
    </row>
    <row r="198" spans="1:7" x14ac:dyDescent="0.35">
      <c r="A198">
        <v>691.2</v>
      </c>
      <c r="B198">
        <v>0.14369999999999999</v>
      </c>
      <c r="C198">
        <v>0.2054</v>
      </c>
      <c r="D198">
        <v>0.124</v>
      </c>
      <c r="E198">
        <f t="shared" si="9"/>
        <v>0.15769999999999998</v>
      </c>
      <c r="F198">
        <f t="shared" si="10"/>
        <v>0</v>
      </c>
      <c r="G198">
        <f t="shared" si="11"/>
        <v>2.4869289999999992E-2</v>
      </c>
    </row>
    <row r="199" spans="1:7" x14ac:dyDescent="0.35">
      <c r="A199">
        <v>716.8</v>
      </c>
      <c r="B199">
        <v>0.1419</v>
      </c>
      <c r="C199">
        <v>0.20399999999999999</v>
      </c>
      <c r="D199">
        <v>0.12330000000000001</v>
      </c>
      <c r="E199">
        <f t="shared" si="9"/>
        <v>0.15640000000000001</v>
      </c>
      <c r="F199">
        <f t="shared" si="10"/>
        <v>0</v>
      </c>
      <c r="G199">
        <f t="shared" si="11"/>
        <v>2.4460960000000004E-2</v>
      </c>
    </row>
    <row r="200" spans="1:7" x14ac:dyDescent="0.35">
      <c r="A200">
        <v>742.4</v>
      </c>
      <c r="B200">
        <v>0.1401</v>
      </c>
      <c r="C200">
        <v>0.20269999999999999</v>
      </c>
      <c r="D200">
        <v>0.1227</v>
      </c>
      <c r="E200">
        <f t="shared" si="9"/>
        <v>0.15516666666666667</v>
      </c>
      <c r="F200">
        <f t="shared" si="10"/>
        <v>0</v>
      </c>
      <c r="G200">
        <f t="shared" si="11"/>
        <v>2.4076694444444446E-2</v>
      </c>
    </row>
    <row r="201" spans="1:7" x14ac:dyDescent="0.35">
      <c r="A201">
        <v>768</v>
      </c>
      <c r="B201">
        <v>0.1386</v>
      </c>
      <c r="C201">
        <v>0.2014</v>
      </c>
      <c r="D201">
        <v>0.1222</v>
      </c>
      <c r="E201">
        <f t="shared" si="9"/>
        <v>0.15406666666666666</v>
      </c>
      <c r="F201">
        <f t="shared" si="10"/>
        <v>0</v>
      </c>
      <c r="G201">
        <f t="shared" si="11"/>
        <v>2.3736537777777775E-2</v>
      </c>
    </row>
    <row r="202" spans="1:7" x14ac:dyDescent="0.35">
      <c r="A202">
        <v>793.6</v>
      </c>
      <c r="B202">
        <v>0.13730000000000001</v>
      </c>
      <c r="C202">
        <v>0.20019999999999999</v>
      </c>
      <c r="D202">
        <v>0.1217</v>
      </c>
      <c r="E202">
        <f t="shared" si="9"/>
        <v>0.15306666666666668</v>
      </c>
      <c r="F202">
        <f t="shared" si="10"/>
        <v>0</v>
      </c>
      <c r="G202">
        <f t="shared" si="11"/>
        <v>2.3429404444444451E-2</v>
      </c>
    </row>
    <row r="203" spans="1:7" x14ac:dyDescent="0.35">
      <c r="A203">
        <v>819.2</v>
      </c>
      <c r="B203">
        <v>0.13619999999999999</v>
      </c>
      <c r="C203">
        <v>0.1991</v>
      </c>
      <c r="D203">
        <v>0.1212</v>
      </c>
      <c r="E203">
        <f t="shared" si="9"/>
        <v>0.15216666666666667</v>
      </c>
      <c r="F203">
        <f t="shared" si="10"/>
        <v>0</v>
      </c>
      <c r="G203">
        <f t="shared" si="11"/>
        <v>2.3154694444444446E-2</v>
      </c>
    </row>
    <row r="204" spans="1:7" x14ac:dyDescent="0.35">
      <c r="A204">
        <v>870.4</v>
      </c>
      <c r="B204">
        <v>0.1338</v>
      </c>
      <c r="C204">
        <v>0.19700000000000001</v>
      </c>
      <c r="D204">
        <v>0.1203</v>
      </c>
      <c r="E204">
        <f t="shared" si="9"/>
        <v>0.15036666666666668</v>
      </c>
      <c r="F204">
        <f t="shared" si="10"/>
        <v>0</v>
      </c>
      <c r="G204">
        <f t="shared" si="11"/>
        <v>2.2610134444444447E-2</v>
      </c>
    </row>
    <row r="205" spans="1:7" x14ac:dyDescent="0.35">
      <c r="A205">
        <v>921.6</v>
      </c>
      <c r="B205">
        <v>0.13170000000000001</v>
      </c>
      <c r="C205">
        <v>0.19500000000000001</v>
      </c>
      <c r="D205">
        <v>0.11940000000000001</v>
      </c>
      <c r="E205">
        <f t="shared" si="9"/>
        <v>0.1487</v>
      </c>
      <c r="F205">
        <f t="shared" si="10"/>
        <v>0</v>
      </c>
      <c r="G205">
        <f t="shared" si="11"/>
        <v>2.211169E-2</v>
      </c>
    </row>
    <row r="206" spans="1:7" x14ac:dyDescent="0.35">
      <c r="A206">
        <v>972.8</v>
      </c>
      <c r="B206">
        <v>0.12970000000000001</v>
      </c>
      <c r="C206">
        <v>0.1933</v>
      </c>
      <c r="D206">
        <v>0.1186</v>
      </c>
      <c r="E206">
        <f t="shared" si="9"/>
        <v>0.1472</v>
      </c>
      <c r="F206">
        <f t="shared" si="10"/>
        <v>0</v>
      </c>
      <c r="G206">
        <f t="shared" si="11"/>
        <v>2.1667840000000001E-2</v>
      </c>
    </row>
    <row r="207" spans="1:7" x14ac:dyDescent="0.35">
      <c r="A207">
        <v>1024</v>
      </c>
      <c r="B207">
        <v>0.12809999999999999</v>
      </c>
      <c r="C207">
        <v>0.19159999999999999</v>
      </c>
      <c r="D207">
        <v>0.1178</v>
      </c>
      <c r="E207">
        <f t="shared" si="9"/>
        <v>0.14583333333333334</v>
      </c>
      <c r="F207">
        <f t="shared" si="10"/>
        <v>0</v>
      </c>
      <c r="G207">
        <f t="shared" si="11"/>
        <v>2.1267361111111115E-2</v>
      </c>
    </row>
    <row r="208" spans="1:7" x14ac:dyDescent="0.35">
      <c r="A208">
        <v>1075</v>
      </c>
      <c r="B208">
        <v>0.12670000000000001</v>
      </c>
      <c r="C208">
        <v>0.19009999999999999</v>
      </c>
      <c r="D208">
        <v>0.11700000000000001</v>
      </c>
      <c r="E208">
        <f t="shared" si="9"/>
        <v>0.14459999999999998</v>
      </c>
      <c r="F208">
        <f t="shared" si="10"/>
        <v>0</v>
      </c>
      <c r="G208">
        <f t="shared" si="11"/>
        <v>2.0909159999999993E-2</v>
      </c>
    </row>
    <row r="209" spans="1:7" x14ac:dyDescent="0.35">
      <c r="A209">
        <v>1126</v>
      </c>
      <c r="B209">
        <v>0.12540000000000001</v>
      </c>
      <c r="C209">
        <v>0.1888</v>
      </c>
      <c r="D209">
        <v>0.1162</v>
      </c>
      <c r="E209">
        <f t="shared" si="9"/>
        <v>0.14346666666666666</v>
      </c>
      <c r="F209">
        <f t="shared" si="10"/>
        <v>0</v>
      </c>
      <c r="G209">
        <f t="shared" si="11"/>
        <v>2.0582684444444443E-2</v>
      </c>
    </row>
    <row r="210" spans="1:7" x14ac:dyDescent="0.35">
      <c r="A210">
        <v>1178</v>
      </c>
      <c r="B210">
        <v>0.124</v>
      </c>
      <c r="C210">
        <v>0.1875</v>
      </c>
      <c r="D210">
        <v>0.11550000000000001</v>
      </c>
      <c r="E210">
        <f t="shared" si="9"/>
        <v>0.14233333333333334</v>
      </c>
      <c r="F210">
        <f t="shared" si="10"/>
        <v>0</v>
      </c>
      <c r="G210">
        <f t="shared" si="11"/>
        <v>2.0258777777777778E-2</v>
      </c>
    </row>
    <row r="211" spans="1:7" x14ac:dyDescent="0.35">
      <c r="A211">
        <v>1229</v>
      </c>
      <c r="B211">
        <v>0.12280000000000001</v>
      </c>
      <c r="C211">
        <v>0.18629999999999999</v>
      </c>
      <c r="D211">
        <v>0.1149</v>
      </c>
      <c r="E211">
        <f t="shared" si="9"/>
        <v>0.14133333333333334</v>
      </c>
      <c r="F211">
        <f t="shared" si="10"/>
        <v>0</v>
      </c>
      <c r="G211">
        <f t="shared" si="11"/>
        <v>1.9975111111111114E-2</v>
      </c>
    </row>
    <row r="212" spans="1:7" x14ac:dyDescent="0.35">
      <c r="A212">
        <v>1280</v>
      </c>
      <c r="B212">
        <v>0.1217</v>
      </c>
      <c r="C212">
        <v>0.185</v>
      </c>
      <c r="D212">
        <v>0.1144</v>
      </c>
      <c r="E212">
        <f t="shared" si="9"/>
        <v>0.14036666666666667</v>
      </c>
      <c r="F212">
        <f t="shared" si="10"/>
        <v>0</v>
      </c>
      <c r="G212">
        <f t="shared" si="11"/>
        <v>1.9702801111111112E-2</v>
      </c>
    </row>
    <row r="213" spans="1:7" x14ac:dyDescent="0.35">
      <c r="A213">
        <v>1331</v>
      </c>
      <c r="B213">
        <v>0.1208</v>
      </c>
      <c r="C213">
        <v>0.18390000000000001</v>
      </c>
      <c r="D213">
        <v>0.114</v>
      </c>
      <c r="E213">
        <f t="shared" si="9"/>
        <v>0.13956666666666667</v>
      </c>
      <c r="F213">
        <f t="shared" si="10"/>
        <v>0</v>
      </c>
      <c r="G213">
        <f t="shared" si="11"/>
        <v>1.9478854444444447E-2</v>
      </c>
    </row>
    <row r="214" spans="1:7" x14ac:dyDescent="0.35">
      <c r="A214">
        <v>1382</v>
      </c>
      <c r="B214">
        <v>0.1197</v>
      </c>
      <c r="C214">
        <v>0.1827</v>
      </c>
      <c r="D214">
        <v>0.1135</v>
      </c>
      <c r="E214">
        <f t="shared" si="9"/>
        <v>0.13863333333333333</v>
      </c>
      <c r="F214">
        <f t="shared" si="10"/>
        <v>0</v>
      </c>
      <c r="G214">
        <f t="shared" si="11"/>
        <v>1.9219201111111112E-2</v>
      </c>
    </row>
    <row r="215" spans="1:7" x14ac:dyDescent="0.35">
      <c r="A215">
        <v>1434</v>
      </c>
      <c r="B215">
        <v>0.1186</v>
      </c>
      <c r="C215">
        <v>0.1817</v>
      </c>
      <c r="D215">
        <v>0.11310000000000001</v>
      </c>
      <c r="E215">
        <f t="shared" si="9"/>
        <v>0.13780000000000001</v>
      </c>
      <c r="F215">
        <f t="shared" si="10"/>
        <v>0</v>
      </c>
      <c r="G215">
        <f t="shared" si="11"/>
        <v>1.898884E-2</v>
      </c>
    </row>
    <row r="216" spans="1:7" x14ac:dyDescent="0.35">
      <c r="A216">
        <v>1485</v>
      </c>
      <c r="B216">
        <v>0.11749999999999999</v>
      </c>
      <c r="C216">
        <v>0.1807</v>
      </c>
      <c r="D216">
        <v>0.11260000000000001</v>
      </c>
      <c r="E216">
        <f t="shared" si="9"/>
        <v>0.13693333333333335</v>
      </c>
      <c r="F216">
        <f t="shared" si="10"/>
        <v>0</v>
      </c>
      <c r="G216">
        <f t="shared" si="11"/>
        <v>1.8750737777777783E-2</v>
      </c>
    </row>
    <row r="217" spans="1:7" x14ac:dyDescent="0.35">
      <c r="A217">
        <v>1536</v>
      </c>
      <c r="B217">
        <v>0.1168</v>
      </c>
      <c r="C217">
        <v>0.1799</v>
      </c>
      <c r="D217">
        <v>0.11219999999999999</v>
      </c>
      <c r="E217">
        <f t="shared" si="9"/>
        <v>0.1363</v>
      </c>
      <c r="F217">
        <f t="shared" si="10"/>
        <v>0</v>
      </c>
      <c r="G217">
        <f t="shared" si="11"/>
        <v>1.8577690000000001E-2</v>
      </c>
    </row>
    <row r="218" spans="1:7" x14ac:dyDescent="0.35">
      <c r="A218">
        <v>1587</v>
      </c>
      <c r="B218">
        <v>0.1162</v>
      </c>
      <c r="C218">
        <v>0.1792</v>
      </c>
      <c r="D218">
        <v>0.11169999999999999</v>
      </c>
      <c r="E218">
        <f t="shared" si="9"/>
        <v>0.13570000000000002</v>
      </c>
      <c r="F218">
        <f t="shared" si="10"/>
        <v>0</v>
      </c>
      <c r="G218">
        <f t="shared" si="11"/>
        <v>1.8414490000000006E-2</v>
      </c>
    </row>
    <row r="219" spans="1:7" x14ac:dyDescent="0.35">
      <c r="A219">
        <v>1638</v>
      </c>
      <c r="B219">
        <v>0.1158</v>
      </c>
      <c r="C219">
        <v>0.17849999999999999</v>
      </c>
      <c r="D219">
        <v>0.1113</v>
      </c>
      <c r="E219">
        <f t="shared" si="9"/>
        <v>0.13520000000000001</v>
      </c>
      <c r="F219">
        <f t="shared" si="10"/>
        <v>0</v>
      </c>
      <c r="G219">
        <f t="shared" si="11"/>
        <v>1.8279040000000003E-2</v>
      </c>
    </row>
    <row r="220" spans="1:7" x14ac:dyDescent="0.35">
      <c r="A220">
        <v>1741</v>
      </c>
      <c r="B220">
        <v>0.1147</v>
      </c>
      <c r="C220">
        <v>0.17710000000000001</v>
      </c>
      <c r="D220">
        <v>0.1105</v>
      </c>
      <c r="E220">
        <f t="shared" si="9"/>
        <v>0.1341</v>
      </c>
      <c r="F220">
        <f t="shared" si="10"/>
        <v>0</v>
      </c>
      <c r="G220">
        <f t="shared" si="11"/>
        <v>1.7982809999999998E-2</v>
      </c>
    </row>
    <row r="221" spans="1:7" x14ac:dyDescent="0.35">
      <c r="A221">
        <v>1843</v>
      </c>
      <c r="B221">
        <v>0.1132</v>
      </c>
      <c r="C221">
        <v>0.1757</v>
      </c>
      <c r="D221">
        <v>0.10979999999999999</v>
      </c>
      <c r="E221">
        <f t="shared" si="9"/>
        <v>0.13289999999999999</v>
      </c>
      <c r="F221">
        <f t="shared" si="10"/>
        <v>0</v>
      </c>
      <c r="G221">
        <f t="shared" si="11"/>
        <v>1.7662409999999996E-2</v>
      </c>
    </row>
    <row r="222" spans="1:7" x14ac:dyDescent="0.35">
      <c r="A222">
        <v>1946</v>
      </c>
      <c r="B222">
        <v>0.11169999999999999</v>
      </c>
      <c r="C222">
        <v>0.17419999999999999</v>
      </c>
      <c r="D222">
        <v>0.1091</v>
      </c>
      <c r="E222">
        <f t="shared" si="9"/>
        <v>0.13166666666666668</v>
      </c>
      <c r="F222">
        <f t="shared" si="10"/>
        <v>0</v>
      </c>
      <c r="G222">
        <f t="shared" si="11"/>
        <v>1.7336111111111115E-2</v>
      </c>
    </row>
    <row r="223" spans="1:7" x14ac:dyDescent="0.35">
      <c r="A223">
        <v>2048</v>
      </c>
      <c r="B223">
        <v>0.11020000000000001</v>
      </c>
      <c r="C223">
        <v>0.1729</v>
      </c>
      <c r="D223">
        <v>0.10829999999999999</v>
      </c>
      <c r="E223">
        <f t="shared" si="9"/>
        <v>0.13046666666666668</v>
      </c>
      <c r="F223">
        <f t="shared" si="10"/>
        <v>0</v>
      </c>
      <c r="G223">
        <f t="shared" si="11"/>
        <v>1.7021551111111113E-2</v>
      </c>
    </row>
    <row r="224" spans="1:7" x14ac:dyDescent="0.35">
      <c r="A224">
        <v>2150</v>
      </c>
      <c r="B224">
        <v>0.109</v>
      </c>
      <c r="C224">
        <v>0.1714</v>
      </c>
      <c r="D224">
        <v>0.1077</v>
      </c>
      <c r="E224">
        <f t="shared" si="9"/>
        <v>0.12936666666666666</v>
      </c>
      <c r="F224">
        <f t="shared" si="10"/>
        <v>0</v>
      </c>
      <c r="G224">
        <f t="shared" si="11"/>
        <v>1.6735734444444442E-2</v>
      </c>
    </row>
    <row r="225" spans="1:7" x14ac:dyDescent="0.35">
      <c r="A225">
        <v>2253</v>
      </c>
      <c r="B225">
        <v>0.10780000000000001</v>
      </c>
      <c r="C225">
        <v>0.17</v>
      </c>
      <c r="D225">
        <v>0.1072</v>
      </c>
      <c r="E225">
        <f t="shared" si="9"/>
        <v>0.12833333333333335</v>
      </c>
      <c r="F225">
        <f t="shared" si="10"/>
        <v>0</v>
      </c>
      <c r="G225">
        <f t="shared" si="11"/>
        <v>1.646944444444445E-2</v>
      </c>
    </row>
    <row r="226" spans="1:7" x14ac:dyDescent="0.35">
      <c r="A226">
        <v>2355</v>
      </c>
      <c r="B226">
        <v>0.1067</v>
      </c>
      <c r="C226">
        <v>0.16850000000000001</v>
      </c>
      <c r="D226">
        <v>0.1067</v>
      </c>
      <c r="E226">
        <f t="shared" si="9"/>
        <v>0.1273</v>
      </c>
      <c r="F226">
        <f t="shared" si="10"/>
        <v>0</v>
      </c>
      <c r="G226">
        <f t="shared" si="11"/>
        <v>1.6205290000000001E-2</v>
      </c>
    </row>
    <row r="227" spans="1:7" x14ac:dyDescent="0.35">
      <c r="A227">
        <v>2458</v>
      </c>
      <c r="B227">
        <v>0.10539999999999999</v>
      </c>
      <c r="C227">
        <v>0.1673</v>
      </c>
      <c r="D227">
        <v>0.106</v>
      </c>
      <c r="E227">
        <f t="shared" si="9"/>
        <v>0.12623333333333334</v>
      </c>
      <c r="F227">
        <f t="shared" si="10"/>
        <v>0</v>
      </c>
      <c r="G227">
        <f t="shared" si="11"/>
        <v>1.5934854444444445E-2</v>
      </c>
    </row>
    <row r="228" spans="1:7" x14ac:dyDescent="0.35">
      <c r="A228">
        <v>2560</v>
      </c>
      <c r="B228">
        <v>0.1043</v>
      </c>
      <c r="C228">
        <v>0.16619999999999999</v>
      </c>
      <c r="D228">
        <v>0.1053</v>
      </c>
      <c r="E228">
        <f t="shared" si="9"/>
        <v>0.12526666666666667</v>
      </c>
      <c r="F228">
        <f t="shared" si="10"/>
        <v>0</v>
      </c>
      <c r="G228">
        <f t="shared" si="11"/>
        <v>1.5691737777777777E-2</v>
      </c>
    </row>
    <row r="229" spans="1:7" x14ac:dyDescent="0.35">
      <c r="A229">
        <v>2662</v>
      </c>
      <c r="B229">
        <v>0.1032</v>
      </c>
      <c r="C229">
        <v>0.1651</v>
      </c>
      <c r="D229">
        <v>0.1045</v>
      </c>
      <c r="E229">
        <f t="shared" si="9"/>
        <v>0.12426666666666665</v>
      </c>
      <c r="F229">
        <f t="shared" si="10"/>
        <v>0</v>
      </c>
      <c r="G229">
        <f t="shared" si="11"/>
        <v>1.5442204444444441E-2</v>
      </c>
    </row>
    <row r="230" spans="1:7" x14ac:dyDescent="0.35">
      <c r="A230">
        <v>2765</v>
      </c>
      <c r="B230">
        <v>0.10199999999999999</v>
      </c>
      <c r="C230">
        <v>0.16389999999999999</v>
      </c>
      <c r="D230">
        <v>0.1038</v>
      </c>
      <c r="E230">
        <f t="shared" si="9"/>
        <v>0.12323333333333332</v>
      </c>
      <c r="F230">
        <f t="shared" si="10"/>
        <v>0</v>
      </c>
      <c r="G230">
        <f t="shared" si="11"/>
        <v>1.5186454444444442E-2</v>
      </c>
    </row>
    <row r="231" spans="1:7" x14ac:dyDescent="0.35">
      <c r="A231">
        <v>2867</v>
      </c>
      <c r="B231">
        <v>0.1007</v>
      </c>
      <c r="C231">
        <v>0.16250000000000001</v>
      </c>
      <c r="D231">
        <v>0.10290000000000001</v>
      </c>
      <c r="E231">
        <f t="shared" si="9"/>
        <v>0.12203333333333333</v>
      </c>
      <c r="F231">
        <f t="shared" si="10"/>
        <v>0</v>
      </c>
      <c r="G231">
        <f t="shared" si="11"/>
        <v>1.4892134444444443E-2</v>
      </c>
    </row>
    <row r="232" spans="1:7" x14ac:dyDescent="0.35">
      <c r="A232">
        <v>2970</v>
      </c>
      <c r="B232">
        <v>9.9419999999999994E-2</v>
      </c>
      <c r="C232">
        <v>0.1608</v>
      </c>
      <c r="D232">
        <v>0.1022</v>
      </c>
      <c r="E232">
        <f t="shared" si="9"/>
        <v>0.12080666666666667</v>
      </c>
      <c r="F232">
        <f t="shared" si="10"/>
        <v>0</v>
      </c>
      <c r="G232">
        <f t="shared" si="11"/>
        <v>1.4594250711111112E-2</v>
      </c>
    </row>
    <row r="233" spans="1:7" x14ac:dyDescent="0.35">
      <c r="A233">
        <v>3072</v>
      </c>
      <c r="B233">
        <v>9.819E-2</v>
      </c>
      <c r="C233">
        <v>0.15920000000000001</v>
      </c>
      <c r="D233">
        <v>0.1014</v>
      </c>
      <c r="E233">
        <f t="shared" si="9"/>
        <v>0.11959666666666667</v>
      </c>
      <c r="F233">
        <f t="shared" si="10"/>
        <v>0</v>
      </c>
      <c r="G233">
        <f t="shared" si="11"/>
        <v>1.4303362677777778E-2</v>
      </c>
    </row>
    <row r="234" spans="1:7" x14ac:dyDescent="0.35">
      <c r="A234">
        <v>3174</v>
      </c>
      <c r="B234">
        <v>9.6750000000000003E-2</v>
      </c>
      <c r="C234">
        <v>0.1578</v>
      </c>
      <c r="D234">
        <v>0.10059999999999999</v>
      </c>
      <c r="E234">
        <f t="shared" si="9"/>
        <v>0.11838333333333333</v>
      </c>
      <c r="F234">
        <f t="shared" si="10"/>
        <v>0</v>
      </c>
      <c r="G234">
        <f t="shared" si="11"/>
        <v>1.401461361111111E-2</v>
      </c>
    </row>
    <row r="235" spans="1:7" x14ac:dyDescent="0.35">
      <c r="A235">
        <v>3277</v>
      </c>
      <c r="B235">
        <v>9.5329999999999998E-2</v>
      </c>
      <c r="C235">
        <v>0.1565</v>
      </c>
      <c r="D235">
        <v>9.9820000000000006E-2</v>
      </c>
      <c r="E235">
        <f t="shared" si="9"/>
        <v>0.11721666666666668</v>
      </c>
      <c r="F235">
        <f t="shared" si="10"/>
        <v>0</v>
      </c>
      <c r="G235">
        <f t="shared" si="11"/>
        <v>1.3739746944444447E-2</v>
      </c>
    </row>
    <row r="236" spans="1:7" x14ac:dyDescent="0.35">
      <c r="A236">
        <v>3482</v>
      </c>
      <c r="B236">
        <v>9.2100000000000001E-2</v>
      </c>
      <c r="C236">
        <v>0.154</v>
      </c>
      <c r="D236">
        <v>9.8229999999999998E-2</v>
      </c>
      <c r="E236">
        <f t="shared" si="9"/>
        <v>0.11477666666666665</v>
      </c>
      <c r="F236">
        <f t="shared" si="10"/>
        <v>0</v>
      </c>
      <c r="G236">
        <f t="shared" si="11"/>
        <v>1.3173683211111108E-2</v>
      </c>
    </row>
    <row r="237" spans="1:7" x14ac:dyDescent="0.35">
      <c r="A237">
        <v>3686</v>
      </c>
      <c r="B237">
        <v>8.8900000000000007E-2</v>
      </c>
      <c r="C237">
        <v>0.1515</v>
      </c>
      <c r="D237">
        <v>9.6659999999999996E-2</v>
      </c>
      <c r="E237">
        <f t="shared" si="9"/>
        <v>0.11235333333333335</v>
      </c>
      <c r="F237">
        <f t="shared" si="10"/>
        <v>0</v>
      </c>
      <c r="G237">
        <f t="shared" si="11"/>
        <v>1.2623271511111114E-2</v>
      </c>
    </row>
    <row r="238" spans="1:7" x14ac:dyDescent="0.35">
      <c r="A238">
        <v>3891</v>
      </c>
      <c r="B238">
        <v>8.5769999999999999E-2</v>
      </c>
      <c r="C238">
        <v>0.14899999999999999</v>
      </c>
      <c r="D238">
        <v>9.4990000000000005E-2</v>
      </c>
      <c r="E238">
        <f t="shared" si="9"/>
        <v>0.10992</v>
      </c>
      <c r="F238">
        <f t="shared" si="10"/>
        <v>0</v>
      </c>
      <c r="G238">
        <f t="shared" si="11"/>
        <v>1.2082406400000001E-2</v>
      </c>
    </row>
    <row r="239" spans="1:7" x14ac:dyDescent="0.35">
      <c r="A239">
        <v>4096</v>
      </c>
      <c r="B239">
        <v>8.2989999999999994E-2</v>
      </c>
      <c r="C239">
        <v>0.14649999999999999</v>
      </c>
      <c r="D239">
        <v>9.3340000000000006E-2</v>
      </c>
      <c r="E239">
        <f t="shared" si="9"/>
        <v>0.10760999999999998</v>
      </c>
      <c r="F239">
        <f t="shared" si="10"/>
        <v>0</v>
      </c>
      <c r="G239">
        <f t="shared" si="11"/>
        <v>1.1579912099999996E-2</v>
      </c>
    </row>
    <row r="240" spans="1:7" x14ac:dyDescent="0.35">
      <c r="A240">
        <v>4301</v>
      </c>
      <c r="B240">
        <v>8.0350000000000005E-2</v>
      </c>
      <c r="C240">
        <v>0.14410000000000001</v>
      </c>
      <c r="D240">
        <v>9.171E-2</v>
      </c>
      <c r="E240">
        <f t="shared" si="9"/>
        <v>0.10538666666666667</v>
      </c>
      <c r="F240">
        <f t="shared" si="10"/>
        <v>0</v>
      </c>
      <c r="G240">
        <f t="shared" si="11"/>
        <v>1.1106349511111112E-2</v>
      </c>
    </row>
    <row r="241" spans="1:7" x14ac:dyDescent="0.35">
      <c r="A241">
        <v>4506</v>
      </c>
      <c r="B241">
        <v>7.775E-2</v>
      </c>
      <c r="C241">
        <v>0.1416</v>
      </c>
      <c r="D241">
        <v>9.0190000000000006E-2</v>
      </c>
      <c r="E241">
        <f t="shared" si="9"/>
        <v>0.10317999999999999</v>
      </c>
      <c r="F241">
        <f t="shared" si="10"/>
        <v>0</v>
      </c>
      <c r="G241">
        <f t="shared" si="11"/>
        <v>1.0646112399999999E-2</v>
      </c>
    </row>
    <row r="242" spans="1:7" x14ac:dyDescent="0.35">
      <c r="A242">
        <v>4710</v>
      </c>
      <c r="B242">
        <v>7.5200000000000003E-2</v>
      </c>
      <c r="C242">
        <v>0.13930000000000001</v>
      </c>
      <c r="D242">
        <v>8.8690000000000005E-2</v>
      </c>
      <c r="E242">
        <f t="shared" si="9"/>
        <v>0.10106333333333334</v>
      </c>
      <c r="F242">
        <f t="shared" si="10"/>
        <v>0</v>
      </c>
      <c r="G242">
        <f t="shared" si="11"/>
        <v>1.0213797344444445E-2</v>
      </c>
    </row>
    <row r="243" spans="1:7" x14ac:dyDescent="0.35">
      <c r="A243">
        <v>4915</v>
      </c>
      <c r="B243">
        <v>7.2669999999999998E-2</v>
      </c>
      <c r="C243">
        <v>0.13700000000000001</v>
      </c>
      <c r="D243">
        <v>8.7209999999999996E-2</v>
      </c>
      <c r="E243">
        <f t="shared" si="9"/>
        <v>9.8960000000000006E-2</v>
      </c>
      <c r="F243">
        <f t="shared" si="10"/>
        <v>0</v>
      </c>
      <c r="G243">
        <f t="shared" si="11"/>
        <v>9.7930816000000014E-3</v>
      </c>
    </row>
    <row r="244" spans="1:7" x14ac:dyDescent="0.35">
      <c r="A244">
        <v>5120</v>
      </c>
      <c r="B244">
        <v>7.0360000000000006E-2</v>
      </c>
      <c r="C244">
        <v>0.13469999999999999</v>
      </c>
      <c r="D244">
        <v>8.5720000000000005E-2</v>
      </c>
      <c r="E244">
        <f t="shared" si="9"/>
        <v>9.6926666666666661E-2</v>
      </c>
      <c r="F244">
        <f t="shared" si="10"/>
        <v>0</v>
      </c>
      <c r="G244">
        <f t="shared" si="11"/>
        <v>9.3947787111111104E-3</v>
      </c>
    </row>
    <row r="245" spans="1:7" x14ac:dyDescent="0.35">
      <c r="A245">
        <v>5325</v>
      </c>
      <c r="B245">
        <v>6.83E-2</v>
      </c>
      <c r="C245">
        <v>0.13239999999999999</v>
      </c>
      <c r="D245">
        <v>8.4309999999999996E-2</v>
      </c>
      <c r="E245">
        <f t="shared" si="9"/>
        <v>9.5003333333333329E-2</v>
      </c>
      <c r="F245">
        <f t="shared" si="10"/>
        <v>0</v>
      </c>
      <c r="G245">
        <f t="shared" si="11"/>
        <v>9.0256333444444434E-3</v>
      </c>
    </row>
    <row r="246" spans="1:7" x14ac:dyDescent="0.35">
      <c r="A246">
        <v>5530</v>
      </c>
      <c r="B246">
        <v>6.658E-2</v>
      </c>
      <c r="C246">
        <v>0.1298</v>
      </c>
      <c r="D246">
        <v>8.2949999999999996E-2</v>
      </c>
      <c r="E246">
        <f t="shared" si="9"/>
        <v>9.3109999999999984E-2</v>
      </c>
      <c r="F246">
        <f t="shared" si="10"/>
        <v>0</v>
      </c>
      <c r="G246">
        <f t="shared" si="11"/>
        <v>8.6694720999999971E-3</v>
      </c>
    </row>
    <row r="247" spans="1:7" x14ac:dyDescent="0.35">
      <c r="A247">
        <v>5734</v>
      </c>
      <c r="B247">
        <v>6.5040000000000001E-2</v>
      </c>
      <c r="C247">
        <v>0.12720000000000001</v>
      </c>
      <c r="D247">
        <v>8.165E-2</v>
      </c>
      <c r="E247">
        <f t="shared" si="9"/>
        <v>9.1296666666666679E-2</v>
      </c>
      <c r="F247">
        <f t="shared" si="10"/>
        <v>0</v>
      </c>
      <c r="G247">
        <f t="shared" si="11"/>
        <v>8.3350813444444463E-3</v>
      </c>
    </row>
    <row r="248" spans="1:7" x14ac:dyDescent="0.35">
      <c r="A248">
        <v>5939</v>
      </c>
      <c r="B248">
        <v>6.3479999999999995E-2</v>
      </c>
      <c r="C248">
        <v>0.1245</v>
      </c>
      <c r="D248">
        <v>8.0420000000000005E-2</v>
      </c>
      <c r="E248">
        <f t="shared" si="9"/>
        <v>8.9466666666666653E-2</v>
      </c>
      <c r="F248">
        <f t="shared" si="10"/>
        <v>0</v>
      </c>
      <c r="G248">
        <f t="shared" si="11"/>
        <v>8.0042844444444417E-3</v>
      </c>
    </row>
    <row r="249" spans="1:7" x14ac:dyDescent="0.35">
      <c r="A249">
        <v>6144</v>
      </c>
      <c r="B249">
        <v>6.2030000000000002E-2</v>
      </c>
      <c r="C249">
        <v>0.1222</v>
      </c>
      <c r="D249">
        <v>7.9210000000000003E-2</v>
      </c>
      <c r="E249">
        <f t="shared" si="9"/>
        <v>8.781333333333334E-2</v>
      </c>
      <c r="F249">
        <f t="shared" si="10"/>
        <v>0</v>
      </c>
      <c r="G249">
        <f t="shared" si="11"/>
        <v>7.7111815111111127E-3</v>
      </c>
    </row>
    <row r="250" spans="1:7" x14ac:dyDescent="0.35">
      <c r="A250">
        <v>6349</v>
      </c>
      <c r="B250">
        <v>6.0490000000000002E-2</v>
      </c>
      <c r="C250">
        <v>0.1201</v>
      </c>
      <c r="D250">
        <v>7.8060000000000004E-2</v>
      </c>
      <c r="E250">
        <f t="shared" si="9"/>
        <v>8.6216666666666664E-2</v>
      </c>
      <c r="F250">
        <f t="shared" si="10"/>
        <v>0</v>
      </c>
      <c r="G250">
        <f t="shared" si="11"/>
        <v>7.4333136111111109E-3</v>
      </c>
    </row>
    <row r="251" spans="1:7" x14ac:dyDescent="0.35">
      <c r="A251">
        <v>6554</v>
      </c>
      <c r="B251">
        <v>5.8930000000000003E-2</v>
      </c>
      <c r="C251">
        <v>0.1183</v>
      </c>
      <c r="D251">
        <v>7.6840000000000006E-2</v>
      </c>
      <c r="E251">
        <f t="shared" si="9"/>
        <v>8.4690000000000001E-2</v>
      </c>
      <c r="F251">
        <f t="shared" si="10"/>
        <v>0</v>
      </c>
      <c r="G251">
        <f t="shared" si="11"/>
        <v>7.1723961000000006E-3</v>
      </c>
    </row>
    <row r="252" spans="1:7" x14ac:dyDescent="0.35">
      <c r="A252">
        <v>6963</v>
      </c>
      <c r="B252">
        <v>5.5849999999999997E-2</v>
      </c>
      <c r="C252">
        <v>0.1149</v>
      </c>
      <c r="D252">
        <v>7.4480000000000005E-2</v>
      </c>
      <c r="E252">
        <f t="shared" si="9"/>
        <v>8.1743333333333335E-2</v>
      </c>
      <c r="F252">
        <f t="shared" si="10"/>
        <v>0</v>
      </c>
      <c r="G252">
        <f t="shared" si="11"/>
        <v>6.6819725444444448E-3</v>
      </c>
    </row>
    <row r="253" spans="1:7" x14ac:dyDescent="0.35">
      <c r="A253">
        <v>7373</v>
      </c>
      <c r="B253">
        <v>5.323E-2</v>
      </c>
      <c r="C253">
        <v>0.1116</v>
      </c>
      <c r="D253">
        <v>7.2309999999999999E-2</v>
      </c>
      <c r="E253">
        <f t="shared" si="9"/>
        <v>7.9046666666666668E-2</v>
      </c>
      <c r="F253">
        <f t="shared" si="10"/>
        <v>0</v>
      </c>
      <c r="G253">
        <f t="shared" si="11"/>
        <v>6.2483755111111114E-3</v>
      </c>
    </row>
    <row r="254" spans="1:7" x14ac:dyDescent="0.35">
      <c r="A254">
        <v>7782</v>
      </c>
      <c r="B254">
        <v>5.1139999999999998E-2</v>
      </c>
      <c r="C254">
        <v>0.1086</v>
      </c>
      <c r="D254">
        <v>7.0290000000000005E-2</v>
      </c>
      <c r="E254">
        <f t="shared" si="9"/>
        <v>7.6676666666666671E-2</v>
      </c>
      <c r="F254">
        <f t="shared" si="10"/>
        <v>0</v>
      </c>
      <c r="G254">
        <f t="shared" si="11"/>
        <v>5.879311211111112E-3</v>
      </c>
    </row>
    <row r="255" spans="1:7" x14ac:dyDescent="0.35">
      <c r="A255">
        <v>8192</v>
      </c>
      <c r="B255">
        <v>4.9459999999999997E-2</v>
      </c>
      <c r="C255">
        <v>0.1056</v>
      </c>
      <c r="D255">
        <v>6.8250000000000005E-2</v>
      </c>
      <c r="E255">
        <f t="shared" si="9"/>
        <v>7.4436666666666665E-2</v>
      </c>
      <c r="F255">
        <f t="shared" si="10"/>
        <v>0</v>
      </c>
      <c r="G255">
        <f t="shared" si="11"/>
        <v>5.5408173444444443E-3</v>
      </c>
    </row>
    <row r="256" spans="1:7" x14ac:dyDescent="0.35">
      <c r="A256">
        <v>8602</v>
      </c>
      <c r="B256">
        <v>4.8149999999999998E-2</v>
      </c>
      <c r="C256">
        <v>0.1031</v>
      </c>
      <c r="D256">
        <v>6.6280000000000006E-2</v>
      </c>
      <c r="E256">
        <f t="shared" si="9"/>
        <v>7.2510000000000005E-2</v>
      </c>
      <c r="F256">
        <f t="shared" si="10"/>
        <v>0</v>
      </c>
      <c r="G256">
        <f t="shared" si="11"/>
        <v>5.257700100000001E-3</v>
      </c>
    </row>
    <row r="257" spans="1:7" x14ac:dyDescent="0.35">
      <c r="A257">
        <v>9011</v>
      </c>
      <c r="B257">
        <v>4.7660000000000001E-2</v>
      </c>
      <c r="C257">
        <v>0.1011</v>
      </c>
      <c r="D257">
        <v>6.4579999999999999E-2</v>
      </c>
      <c r="E257">
        <f t="shared" si="9"/>
        <v>7.1113333333333334E-2</v>
      </c>
      <c r="F257">
        <f t="shared" si="10"/>
        <v>0</v>
      </c>
      <c r="G257">
        <f t="shared" si="11"/>
        <v>5.0571061777777782E-3</v>
      </c>
    </row>
    <row r="258" spans="1:7" x14ac:dyDescent="0.35">
      <c r="A258">
        <v>9421</v>
      </c>
      <c r="B258">
        <v>4.7750000000000001E-2</v>
      </c>
      <c r="C258">
        <v>9.9529999999999993E-2</v>
      </c>
      <c r="D258">
        <v>6.3250000000000001E-2</v>
      </c>
      <c r="E258">
        <f t="shared" si="9"/>
        <v>7.0176666666666665E-2</v>
      </c>
      <c r="F258">
        <f t="shared" si="10"/>
        <v>0</v>
      </c>
      <c r="G258">
        <f t="shared" si="11"/>
        <v>4.9247645444444443E-3</v>
      </c>
    </row>
    <row r="259" spans="1:7" x14ac:dyDescent="0.35">
      <c r="A259">
        <v>9830</v>
      </c>
      <c r="B259">
        <v>4.8259999999999997E-2</v>
      </c>
      <c r="C259">
        <v>9.8070000000000004E-2</v>
      </c>
      <c r="D259">
        <v>6.216E-2</v>
      </c>
      <c r="E259">
        <f t="shared" ref="E259:E322" si="12">AVERAGE(B259:D259)</f>
        <v>6.9496666666666665E-2</v>
      </c>
      <c r="F259">
        <f t="shared" ref="F259:F322" si="13">$J$2+$J$3*E259+$J$4*E259^2+$J$5*E259^3+$J$6*E259^4+$J$7*E259^5+$J$8*E259^6</f>
        <v>0</v>
      </c>
      <c r="G259">
        <f t="shared" ref="G259:G322" si="14">(E259-F259)^2</f>
        <v>4.8297866777777775E-3</v>
      </c>
    </row>
    <row r="260" spans="1:7" x14ac:dyDescent="0.35">
      <c r="A260" s="1">
        <v>10240</v>
      </c>
      <c r="B260">
        <v>4.8439999999999997E-2</v>
      </c>
      <c r="C260">
        <v>9.6670000000000006E-2</v>
      </c>
      <c r="D260">
        <v>6.1280000000000001E-2</v>
      </c>
      <c r="E260">
        <f t="shared" si="12"/>
        <v>6.8796666666666673E-2</v>
      </c>
      <c r="F260">
        <f t="shared" si="13"/>
        <v>0</v>
      </c>
      <c r="G260">
        <f t="shared" si="14"/>
        <v>4.732981344444445E-3</v>
      </c>
    </row>
    <row r="261" spans="1:7" x14ac:dyDescent="0.35">
      <c r="A261" s="1">
        <v>10650</v>
      </c>
      <c r="B261">
        <v>4.8399999999999999E-2</v>
      </c>
      <c r="C261">
        <v>9.5570000000000002E-2</v>
      </c>
      <c r="D261">
        <v>6.0539999999999997E-2</v>
      </c>
      <c r="E261">
        <f t="shared" si="12"/>
        <v>6.8169999999999994E-2</v>
      </c>
      <c r="F261">
        <f t="shared" si="13"/>
        <v>0</v>
      </c>
      <c r="G261">
        <f t="shared" si="14"/>
        <v>4.6471488999999993E-3</v>
      </c>
    </row>
    <row r="262" spans="1:7" x14ac:dyDescent="0.35">
      <c r="A262" s="1">
        <v>11060</v>
      </c>
      <c r="B262">
        <v>4.7879999999999999E-2</v>
      </c>
      <c r="C262">
        <v>9.4869999999999996E-2</v>
      </c>
      <c r="D262">
        <v>5.978E-2</v>
      </c>
      <c r="E262">
        <f t="shared" si="12"/>
        <v>6.7510000000000001E-2</v>
      </c>
      <c r="F262">
        <f t="shared" si="13"/>
        <v>0</v>
      </c>
      <c r="G262">
        <f t="shared" si="14"/>
        <v>4.5576000999999998E-3</v>
      </c>
    </row>
    <row r="263" spans="1:7" x14ac:dyDescent="0.35">
      <c r="A263" s="1">
        <v>11470</v>
      </c>
      <c r="B263">
        <v>4.7370000000000002E-2</v>
      </c>
      <c r="C263">
        <v>9.4450000000000006E-2</v>
      </c>
      <c r="D263">
        <v>5.8999999999999997E-2</v>
      </c>
      <c r="E263">
        <f t="shared" si="12"/>
        <v>6.694E-2</v>
      </c>
      <c r="F263">
        <f t="shared" si="13"/>
        <v>0</v>
      </c>
      <c r="G263">
        <f t="shared" si="14"/>
        <v>4.4809636000000003E-3</v>
      </c>
    </row>
    <row r="264" spans="1:7" x14ac:dyDescent="0.35">
      <c r="A264" s="1">
        <v>11880</v>
      </c>
      <c r="B264">
        <v>4.6710000000000002E-2</v>
      </c>
      <c r="C264">
        <v>9.4E-2</v>
      </c>
      <c r="D264">
        <v>5.824E-2</v>
      </c>
      <c r="E264">
        <f t="shared" si="12"/>
        <v>6.6316666666666677E-2</v>
      </c>
      <c r="F264">
        <f t="shared" si="13"/>
        <v>0</v>
      </c>
      <c r="G264">
        <f t="shared" si="14"/>
        <v>4.3979002777777788E-3</v>
      </c>
    </row>
    <row r="265" spans="1:7" x14ac:dyDescent="0.35">
      <c r="A265" s="1">
        <v>12290</v>
      </c>
      <c r="B265">
        <v>4.6609999999999999E-2</v>
      </c>
      <c r="C265">
        <v>9.3289999999999998E-2</v>
      </c>
      <c r="D265">
        <v>5.7480000000000003E-2</v>
      </c>
      <c r="E265">
        <f t="shared" si="12"/>
        <v>6.5793333333333329E-2</v>
      </c>
      <c r="F265">
        <f t="shared" si="13"/>
        <v>0</v>
      </c>
      <c r="G265">
        <f t="shared" si="14"/>
        <v>4.3287627111111109E-3</v>
      </c>
    </row>
    <row r="266" spans="1:7" x14ac:dyDescent="0.35">
      <c r="A266" s="1">
        <v>12700</v>
      </c>
      <c r="B266">
        <v>4.6580000000000003E-2</v>
      </c>
      <c r="C266">
        <v>9.2469999999999997E-2</v>
      </c>
      <c r="D266">
        <v>5.6829999999999999E-2</v>
      </c>
      <c r="E266">
        <f t="shared" si="12"/>
        <v>6.5293333333333328E-2</v>
      </c>
      <c r="F266">
        <f t="shared" si="13"/>
        <v>0</v>
      </c>
      <c r="G266">
        <f t="shared" si="14"/>
        <v>4.2632193777777773E-3</v>
      </c>
    </row>
    <row r="267" spans="1:7" x14ac:dyDescent="0.35">
      <c r="A267" s="1">
        <v>13110</v>
      </c>
      <c r="B267">
        <v>4.6620000000000002E-2</v>
      </c>
      <c r="C267">
        <v>9.2009999999999995E-2</v>
      </c>
      <c r="D267">
        <v>5.6279999999999997E-2</v>
      </c>
      <c r="E267">
        <f t="shared" si="12"/>
        <v>6.497E-2</v>
      </c>
      <c r="F267">
        <f t="shared" si="13"/>
        <v>0</v>
      </c>
      <c r="G267">
        <f t="shared" si="14"/>
        <v>4.2211009000000001E-3</v>
      </c>
    </row>
    <row r="268" spans="1:7" x14ac:dyDescent="0.35">
      <c r="A268" s="1">
        <v>13930</v>
      </c>
      <c r="B268">
        <v>4.5670000000000002E-2</v>
      </c>
      <c r="C268">
        <v>9.1619999999999993E-2</v>
      </c>
      <c r="D268">
        <v>5.5530000000000003E-2</v>
      </c>
      <c r="E268">
        <f t="shared" si="12"/>
        <v>6.4273333333333335E-2</v>
      </c>
      <c r="F268">
        <f t="shared" si="13"/>
        <v>0</v>
      </c>
      <c r="G268">
        <f t="shared" si="14"/>
        <v>4.1310613777777779E-3</v>
      </c>
    </row>
    <row r="269" spans="1:7" x14ac:dyDescent="0.35">
      <c r="A269" s="1">
        <v>14750</v>
      </c>
      <c r="B269">
        <v>4.4209999999999999E-2</v>
      </c>
      <c r="C269">
        <v>9.1130000000000003E-2</v>
      </c>
      <c r="D269">
        <v>5.4850000000000003E-2</v>
      </c>
      <c r="E269">
        <f t="shared" si="12"/>
        <v>6.3396666666666671E-2</v>
      </c>
      <c r="F269">
        <f t="shared" si="13"/>
        <v>0</v>
      </c>
      <c r="G269">
        <f t="shared" si="14"/>
        <v>4.0191373444444451E-3</v>
      </c>
    </row>
    <row r="270" spans="1:7" x14ac:dyDescent="0.35">
      <c r="A270" s="1">
        <v>15560</v>
      </c>
      <c r="B270">
        <v>4.2229999999999997E-2</v>
      </c>
      <c r="C270">
        <v>9.0399999999999994E-2</v>
      </c>
      <c r="D270">
        <v>5.4269999999999999E-2</v>
      </c>
      <c r="E270">
        <f t="shared" si="12"/>
        <v>6.2300000000000001E-2</v>
      </c>
      <c r="F270">
        <f t="shared" si="13"/>
        <v>0</v>
      </c>
      <c r="G270">
        <f t="shared" si="14"/>
        <v>3.8812900000000003E-3</v>
      </c>
    </row>
    <row r="271" spans="1:7" x14ac:dyDescent="0.35">
      <c r="A271" s="1">
        <v>16380</v>
      </c>
      <c r="B271">
        <v>4.0320000000000002E-2</v>
      </c>
      <c r="C271">
        <v>8.9130000000000001E-2</v>
      </c>
      <c r="D271">
        <v>5.373E-2</v>
      </c>
      <c r="E271">
        <f t="shared" si="12"/>
        <v>6.1060000000000003E-2</v>
      </c>
      <c r="F271">
        <f t="shared" si="13"/>
        <v>0</v>
      </c>
      <c r="G271">
        <f t="shared" si="14"/>
        <v>3.7283236000000002E-3</v>
      </c>
    </row>
    <row r="272" spans="1:7" x14ac:dyDescent="0.35">
      <c r="A272" s="1">
        <v>17200</v>
      </c>
      <c r="B272">
        <v>3.8080000000000003E-2</v>
      </c>
      <c r="C272">
        <v>8.7419999999999998E-2</v>
      </c>
      <c r="D272">
        <v>5.3019999999999998E-2</v>
      </c>
      <c r="E272">
        <f t="shared" si="12"/>
        <v>5.9506666666666673E-2</v>
      </c>
      <c r="F272">
        <f t="shared" si="13"/>
        <v>0</v>
      </c>
      <c r="G272">
        <f t="shared" si="14"/>
        <v>3.5410433777777785E-3</v>
      </c>
    </row>
    <row r="273" spans="1:7" x14ac:dyDescent="0.35">
      <c r="A273" s="1">
        <v>18020</v>
      </c>
      <c r="B273">
        <v>3.5970000000000002E-2</v>
      </c>
      <c r="C273">
        <v>8.523E-2</v>
      </c>
      <c r="D273">
        <v>5.2179999999999997E-2</v>
      </c>
      <c r="E273">
        <f t="shared" si="12"/>
        <v>5.7793333333333335E-2</v>
      </c>
      <c r="F273">
        <f t="shared" si="13"/>
        <v>0</v>
      </c>
      <c r="G273">
        <f t="shared" si="14"/>
        <v>3.340069377777778E-3</v>
      </c>
    </row>
    <row r="274" spans="1:7" x14ac:dyDescent="0.35">
      <c r="A274" s="1">
        <v>18840</v>
      </c>
      <c r="B274">
        <v>3.3739999999999999E-2</v>
      </c>
      <c r="C274">
        <v>8.2589999999999997E-2</v>
      </c>
      <c r="D274">
        <v>5.1229999999999998E-2</v>
      </c>
      <c r="E274">
        <f t="shared" si="12"/>
        <v>5.5853333333333331E-2</v>
      </c>
      <c r="F274">
        <f t="shared" si="13"/>
        <v>0</v>
      </c>
      <c r="G274">
        <f t="shared" si="14"/>
        <v>3.1195948444444443E-3</v>
      </c>
    </row>
    <row r="275" spans="1:7" x14ac:dyDescent="0.35">
      <c r="A275" s="1">
        <v>19660</v>
      </c>
      <c r="B275">
        <v>3.2219999999999999E-2</v>
      </c>
      <c r="C275">
        <v>8.0259999999999998E-2</v>
      </c>
      <c r="D275">
        <v>5.0220000000000001E-2</v>
      </c>
      <c r="E275">
        <f t="shared" si="12"/>
        <v>5.4233333333333335E-2</v>
      </c>
      <c r="F275">
        <f t="shared" si="13"/>
        <v>0</v>
      </c>
      <c r="G275">
        <f t="shared" si="14"/>
        <v>2.9412544444444447E-3</v>
      </c>
    </row>
    <row r="276" spans="1:7" x14ac:dyDescent="0.35">
      <c r="A276" s="1">
        <v>20480</v>
      </c>
      <c r="B276">
        <v>3.099E-2</v>
      </c>
      <c r="C276">
        <v>7.7920000000000003E-2</v>
      </c>
      <c r="D276">
        <v>4.9119999999999997E-2</v>
      </c>
      <c r="E276">
        <f t="shared" si="12"/>
        <v>5.267666666666667E-2</v>
      </c>
      <c r="F276">
        <f t="shared" si="13"/>
        <v>0</v>
      </c>
      <c r="G276">
        <f t="shared" si="14"/>
        <v>2.7748312111111114E-3</v>
      </c>
    </row>
    <row r="277" spans="1:7" x14ac:dyDescent="0.35">
      <c r="A277" s="1">
        <v>21300</v>
      </c>
      <c r="B277">
        <v>2.9899999999999999E-2</v>
      </c>
      <c r="C277">
        <v>7.5480000000000005E-2</v>
      </c>
      <c r="D277">
        <v>4.7820000000000001E-2</v>
      </c>
      <c r="E277">
        <f t="shared" si="12"/>
        <v>5.106666666666667E-2</v>
      </c>
      <c r="F277">
        <f t="shared" si="13"/>
        <v>0</v>
      </c>
      <c r="G277">
        <f t="shared" si="14"/>
        <v>2.6078044444444448E-3</v>
      </c>
    </row>
    <row r="278" spans="1:7" x14ac:dyDescent="0.35">
      <c r="A278" s="1">
        <v>22120</v>
      </c>
      <c r="B278">
        <v>2.886E-2</v>
      </c>
      <c r="C278">
        <v>7.2779999999999997E-2</v>
      </c>
      <c r="D278">
        <v>4.6429999999999999E-2</v>
      </c>
      <c r="E278">
        <f t="shared" si="12"/>
        <v>4.935666666666666E-2</v>
      </c>
      <c r="F278">
        <f t="shared" si="13"/>
        <v>0</v>
      </c>
      <c r="G278">
        <f t="shared" si="14"/>
        <v>2.4360805444444437E-3</v>
      </c>
    </row>
    <row r="279" spans="1:7" x14ac:dyDescent="0.35">
      <c r="A279" s="1">
        <v>22940</v>
      </c>
      <c r="B279">
        <v>2.8049999999999999E-2</v>
      </c>
      <c r="C279">
        <v>6.991E-2</v>
      </c>
      <c r="D279">
        <v>4.487E-2</v>
      </c>
      <c r="E279">
        <f t="shared" si="12"/>
        <v>4.7609999999999993E-2</v>
      </c>
      <c r="F279">
        <f t="shared" si="13"/>
        <v>0</v>
      </c>
      <c r="G279">
        <f t="shared" si="14"/>
        <v>2.2667120999999993E-3</v>
      </c>
    </row>
    <row r="280" spans="1:7" x14ac:dyDescent="0.35">
      <c r="A280" s="1">
        <v>23760</v>
      </c>
      <c r="B280">
        <v>2.742E-2</v>
      </c>
      <c r="C280">
        <v>6.7299999999999999E-2</v>
      </c>
      <c r="D280">
        <v>4.342E-2</v>
      </c>
      <c r="E280">
        <f t="shared" si="12"/>
        <v>4.6046666666666659E-2</v>
      </c>
      <c r="F280">
        <f t="shared" si="13"/>
        <v>0</v>
      </c>
      <c r="G280">
        <f t="shared" si="14"/>
        <v>2.1202955111111104E-3</v>
      </c>
    </row>
    <row r="281" spans="1:7" x14ac:dyDescent="0.35">
      <c r="A281" s="1">
        <v>24580</v>
      </c>
      <c r="B281">
        <v>2.6589999999999999E-2</v>
      </c>
      <c r="C281">
        <v>6.5119999999999997E-2</v>
      </c>
      <c r="D281">
        <v>4.2049999999999997E-2</v>
      </c>
      <c r="E281">
        <f t="shared" si="12"/>
        <v>4.4586666666666663E-2</v>
      </c>
      <c r="F281">
        <f t="shared" si="13"/>
        <v>0</v>
      </c>
      <c r="G281">
        <f t="shared" si="14"/>
        <v>1.987970844444444E-3</v>
      </c>
    </row>
    <row r="282" spans="1:7" x14ac:dyDescent="0.35">
      <c r="A282" s="1">
        <v>25400</v>
      </c>
      <c r="B282">
        <v>2.564E-2</v>
      </c>
      <c r="C282">
        <v>6.3259999999999997E-2</v>
      </c>
      <c r="D282">
        <v>4.0680000000000001E-2</v>
      </c>
      <c r="E282">
        <f t="shared" si="12"/>
        <v>4.3193333333333334E-2</v>
      </c>
      <c r="F282">
        <f t="shared" si="13"/>
        <v>0</v>
      </c>
      <c r="G282">
        <f t="shared" si="14"/>
        <v>1.8656640444444444E-3</v>
      </c>
    </row>
    <row r="283" spans="1:7" x14ac:dyDescent="0.35">
      <c r="A283" s="1">
        <v>26210</v>
      </c>
      <c r="B283">
        <v>2.4889999999999999E-2</v>
      </c>
      <c r="C283">
        <v>6.1859999999999998E-2</v>
      </c>
      <c r="D283">
        <v>3.9199999999999999E-2</v>
      </c>
      <c r="E283">
        <f t="shared" si="12"/>
        <v>4.1983333333333338E-2</v>
      </c>
      <c r="F283">
        <f t="shared" si="13"/>
        <v>0</v>
      </c>
      <c r="G283">
        <f t="shared" si="14"/>
        <v>1.7626002777777782E-3</v>
      </c>
    </row>
    <row r="284" spans="1:7" x14ac:dyDescent="0.35">
      <c r="A284" s="1">
        <v>27850</v>
      </c>
      <c r="B284">
        <v>2.366E-2</v>
      </c>
      <c r="C284">
        <v>5.858E-2</v>
      </c>
      <c r="D284">
        <v>3.6400000000000002E-2</v>
      </c>
      <c r="E284">
        <f t="shared" si="12"/>
        <v>3.9546666666666667E-2</v>
      </c>
      <c r="F284">
        <f t="shared" si="13"/>
        <v>0</v>
      </c>
      <c r="G284">
        <f t="shared" si="14"/>
        <v>1.5639388444444445E-3</v>
      </c>
    </row>
    <row r="285" spans="1:7" x14ac:dyDescent="0.35">
      <c r="A285" s="1">
        <v>29490</v>
      </c>
      <c r="B285">
        <v>2.232E-2</v>
      </c>
      <c r="C285">
        <v>5.5410000000000001E-2</v>
      </c>
      <c r="D285">
        <v>3.4029999999999998E-2</v>
      </c>
      <c r="E285">
        <f t="shared" si="12"/>
        <v>3.7253333333333333E-2</v>
      </c>
      <c r="F285">
        <f t="shared" si="13"/>
        <v>0</v>
      </c>
      <c r="G285">
        <f t="shared" si="14"/>
        <v>1.3878108444444444E-3</v>
      </c>
    </row>
    <row r="286" spans="1:7" x14ac:dyDescent="0.35">
      <c r="A286" s="1">
        <v>31130</v>
      </c>
      <c r="B286">
        <v>2.0590000000000001E-2</v>
      </c>
      <c r="C286">
        <v>5.2209999999999999E-2</v>
      </c>
      <c r="D286">
        <v>3.1960000000000002E-2</v>
      </c>
      <c r="E286">
        <f t="shared" si="12"/>
        <v>3.492E-2</v>
      </c>
      <c r="F286">
        <f t="shared" si="13"/>
        <v>0</v>
      </c>
      <c r="G286">
        <f t="shared" si="14"/>
        <v>1.2194064000000001E-3</v>
      </c>
    </row>
    <row r="287" spans="1:7" x14ac:dyDescent="0.35">
      <c r="A287" s="1">
        <v>32770</v>
      </c>
      <c r="B287">
        <v>1.941E-2</v>
      </c>
      <c r="C287">
        <v>4.9529999999999998E-2</v>
      </c>
      <c r="D287">
        <v>3.0089999999999999E-2</v>
      </c>
      <c r="E287">
        <f t="shared" si="12"/>
        <v>3.3010000000000005E-2</v>
      </c>
      <c r="F287">
        <f t="shared" si="13"/>
        <v>0</v>
      </c>
      <c r="G287">
        <f t="shared" si="14"/>
        <v>1.0896601000000004E-3</v>
      </c>
    </row>
    <row r="288" spans="1:7" x14ac:dyDescent="0.35">
      <c r="A288" s="1">
        <v>34410</v>
      </c>
      <c r="B288">
        <v>1.822E-2</v>
      </c>
      <c r="C288">
        <v>4.6789999999999998E-2</v>
      </c>
      <c r="D288">
        <v>2.8199999999999999E-2</v>
      </c>
      <c r="E288">
        <f t="shared" si="12"/>
        <v>3.107E-2</v>
      </c>
      <c r="F288">
        <f t="shared" si="13"/>
        <v>0</v>
      </c>
      <c r="G288">
        <f t="shared" si="14"/>
        <v>9.6534490000000001E-4</v>
      </c>
    </row>
    <row r="289" spans="1:7" x14ac:dyDescent="0.35">
      <c r="A289" s="1">
        <v>36040</v>
      </c>
      <c r="B289">
        <v>1.7340000000000001E-2</v>
      </c>
      <c r="C289">
        <v>4.4229999999999998E-2</v>
      </c>
      <c r="D289">
        <v>2.6460000000000001E-2</v>
      </c>
      <c r="E289">
        <f t="shared" si="12"/>
        <v>2.9343333333333332E-2</v>
      </c>
      <c r="F289">
        <f t="shared" si="13"/>
        <v>0</v>
      </c>
      <c r="G289">
        <f t="shared" si="14"/>
        <v>8.6103121111111107E-4</v>
      </c>
    </row>
    <row r="290" spans="1:7" x14ac:dyDescent="0.35">
      <c r="A290" s="1">
        <v>37680</v>
      </c>
      <c r="B290">
        <v>1.6490000000000001E-2</v>
      </c>
      <c r="C290">
        <v>4.1709999999999997E-2</v>
      </c>
      <c r="D290">
        <v>2.4799999999999999E-2</v>
      </c>
      <c r="E290">
        <f t="shared" si="12"/>
        <v>2.7666666666666669E-2</v>
      </c>
      <c r="F290">
        <f t="shared" si="13"/>
        <v>0</v>
      </c>
      <c r="G290">
        <f t="shared" si="14"/>
        <v>7.6544444444444457E-4</v>
      </c>
    </row>
    <row r="291" spans="1:7" x14ac:dyDescent="0.35">
      <c r="A291" s="1">
        <v>39320</v>
      </c>
      <c r="B291">
        <v>1.5879999999999998E-2</v>
      </c>
      <c r="C291">
        <v>3.9019999999999999E-2</v>
      </c>
      <c r="D291">
        <v>2.3380000000000001E-2</v>
      </c>
      <c r="E291">
        <f t="shared" si="12"/>
        <v>2.6093333333333333E-2</v>
      </c>
      <c r="F291">
        <f t="shared" si="13"/>
        <v>0</v>
      </c>
      <c r="G291">
        <f t="shared" si="14"/>
        <v>6.808620444444444E-4</v>
      </c>
    </row>
    <row r="292" spans="1:7" x14ac:dyDescent="0.35">
      <c r="A292" s="1">
        <v>40960</v>
      </c>
      <c r="B292">
        <v>1.5570000000000001E-2</v>
      </c>
      <c r="C292">
        <v>3.6200000000000003E-2</v>
      </c>
      <c r="D292">
        <v>2.2159999999999999E-2</v>
      </c>
      <c r="E292">
        <f t="shared" si="12"/>
        <v>2.4643333333333333E-2</v>
      </c>
      <c r="F292">
        <f t="shared" si="13"/>
        <v>0</v>
      </c>
      <c r="G292">
        <f t="shared" si="14"/>
        <v>6.0729387777777772E-4</v>
      </c>
    </row>
    <row r="293" spans="1:7" x14ac:dyDescent="0.35">
      <c r="A293" s="1">
        <v>42600</v>
      </c>
      <c r="B293">
        <v>1.5049999999999999E-2</v>
      </c>
      <c r="C293">
        <v>3.3390000000000003E-2</v>
      </c>
      <c r="D293">
        <v>2.1160000000000002E-2</v>
      </c>
      <c r="E293">
        <f t="shared" si="12"/>
        <v>2.3200000000000002E-2</v>
      </c>
      <c r="F293">
        <f t="shared" si="13"/>
        <v>0</v>
      </c>
      <c r="G293">
        <f t="shared" si="14"/>
        <v>5.3824000000000005E-4</v>
      </c>
    </row>
    <row r="294" spans="1:7" x14ac:dyDescent="0.35">
      <c r="A294" s="1">
        <v>44240</v>
      </c>
      <c r="B294">
        <v>1.451E-2</v>
      </c>
      <c r="C294">
        <v>3.09E-2</v>
      </c>
      <c r="D294">
        <v>2.052E-2</v>
      </c>
      <c r="E294">
        <f t="shared" si="12"/>
        <v>2.1976666666666669E-2</v>
      </c>
      <c r="F294">
        <f t="shared" si="13"/>
        <v>0</v>
      </c>
      <c r="G294">
        <f t="shared" si="14"/>
        <v>4.8297387777777786E-4</v>
      </c>
    </row>
    <row r="295" spans="1:7" x14ac:dyDescent="0.35">
      <c r="A295" s="1">
        <v>45880</v>
      </c>
      <c r="B295">
        <v>1.3440000000000001E-2</v>
      </c>
      <c r="C295">
        <v>2.896E-2</v>
      </c>
      <c r="D295">
        <v>2.0119999999999999E-2</v>
      </c>
      <c r="E295">
        <f t="shared" si="12"/>
        <v>2.0839999999999997E-2</v>
      </c>
      <c r="F295">
        <f t="shared" si="13"/>
        <v>0</v>
      </c>
      <c r="G295">
        <f t="shared" si="14"/>
        <v>4.3430559999999989E-4</v>
      </c>
    </row>
    <row r="296" spans="1:7" x14ac:dyDescent="0.35">
      <c r="A296" s="1">
        <v>47510</v>
      </c>
      <c r="B296">
        <v>1.2359999999999999E-2</v>
      </c>
      <c r="C296">
        <v>2.7140000000000001E-2</v>
      </c>
      <c r="D296">
        <v>1.976E-2</v>
      </c>
      <c r="E296">
        <f t="shared" si="12"/>
        <v>1.9753333333333335E-2</v>
      </c>
      <c r="F296">
        <f t="shared" si="13"/>
        <v>0</v>
      </c>
      <c r="G296">
        <f t="shared" si="14"/>
        <v>3.9019417777777781E-4</v>
      </c>
    </row>
    <row r="297" spans="1:7" x14ac:dyDescent="0.35">
      <c r="A297" s="1">
        <v>49150</v>
      </c>
      <c r="B297">
        <v>1.14E-2</v>
      </c>
      <c r="C297">
        <v>2.563E-2</v>
      </c>
      <c r="D297">
        <v>1.941E-2</v>
      </c>
      <c r="E297">
        <f t="shared" si="12"/>
        <v>1.8813333333333335E-2</v>
      </c>
      <c r="F297">
        <f t="shared" si="13"/>
        <v>0</v>
      </c>
      <c r="G297">
        <f t="shared" si="14"/>
        <v>3.5394151111111115E-4</v>
      </c>
    </row>
    <row r="298" spans="1:7" x14ac:dyDescent="0.35">
      <c r="A298" s="1">
        <v>50790</v>
      </c>
      <c r="B298">
        <v>1.1010000000000001E-2</v>
      </c>
      <c r="C298">
        <v>2.3900000000000001E-2</v>
      </c>
      <c r="D298">
        <v>1.9210000000000001E-2</v>
      </c>
      <c r="E298">
        <f t="shared" si="12"/>
        <v>1.804E-2</v>
      </c>
      <c r="F298">
        <f t="shared" si="13"/>
        <v>0</v>
      </c>
      <c r="G298">
        <f t="shared" si="14"/>
        <v>3.2544160000000003E-4</v>
      </c>
    </row>
    <row r="299" spans="1:7" x14ac:dyDescent="0.35">
      <c r="A299" s="1">
        <v>52430</v>
      </c>
      <c r="B299">
        <v>1.0919999999999999E-2</v>
      </c>
      <c r="C299">
        <v>2.2509999999999999E-2</v>
      </c>
      <c r="D299">
        <v>1.915E-2</v>
      </c>
      <c r="E299">
        <f t="shared" si="12"/>
        <v>1.7526666666666666E-2</v>
      </c>
      <c r="F299">
        <f t="shared" si="13"/>
        <v>0</v>
      </c>
      <c r="G299">
        <f t="shared" si="14"/>
        <v>3.0718404444444444E-4</v>
      </c>
    </row>
    <row r="300" spans="1:7" x14ac:dyDescent="0.35">
      <c r="A300" s="1">
        <v>55710</v>
      </c>
      <c r="B300">
        <v>1.1220000000000001E-2</v>
      </c>
      <c r="C300">
        <v>2.0109999999999999E-2</v>
      </c>
      <c r="D300">
        <v>1.8859999999999998E-2</v>
      </c>
      <c r="E300">
        <f t="shared" si="12"/>
        <v>1.6729999999999998E-2</v>
      </c>
      <c r="F300">
        <f t="shared" si="13"/>
        <v>0</v>
      </c>
      <c r="G300">
        <f t="shared" si="14"/>
        <v>2.7989289999999994E-4</v>
      </c>
    </row>
    <row r="301" spans="1:7" x14ac:dyDescent="0.35">
      <c r="A301" s="1">
        <v>58980</v>
      </c>
      <c r="B301">
        <v>1.1050000000000001E-2</v>
      </c>
      <c r="C301">
        <v>1.8010000000000002E-2</v>
      </c>
      <c r="D301">
        <v>1.8440000000000002E-2</v>
      </c>
      <c r="E301">
        <f t="shared" si="12"/>
        <v>1.5833333333333335E-2</v>
      </c>
      <c r="F301">
        <f t="shared" si="13"/>
        <v>0</v>
      </c>
      <c r="G301">
        <f t="shared" si="14"/>
        <v>2.506944444444445E-4</v>
      </c>
    </row>
    <row r="302" spans="1:7" x14ac:dyDescent="0.35">
      <c r="A302" s="1">
        <v>62260</v>
      </c>
      <c r="B302">
        <v>1.0370000000000001E-2</v>
      </c>
      <c r="C302">
        <v>1.6160000000000001E-2</v>
      </c>
      <c r="D302">
        <v>1.805E-2</v>
      </c>
      <c r="E302">
        <f t="shared" si="12"/>
        <v>1.486E-2</v>
      </c>
      <c r="F302">
        <f t="shared" si="13"/>
        <v>0</v>
      </c>
      <c r="G302">
        <f t="shared" si="14"/>
        <v>2.2081959999999999E-4</v>
      </c>
    </row>
    <row r="303" spans="1:7" x14ac:dyDescent="0.35">
      <c r="A303" s="1">
        <v>65540</v>
      </c>
      <c r="B303">
        <v>9.5300000000000003E-3</v>
      </c>
      <c r="C303">
        <v>1.44E-2</v>
      </c>
      <c r="D303">
        <v>1.7829999999999999E-2</v>
      </c>
      <c r="E303">
        <f t="shared" si="12"/>
        <v>1.392E-2</v>
      </c>
      <c r="F303">
        <f t="shared" si="13"/>
        <v>0</v>
      </c>
      <c r="G303">
        <f t="shared" si="14"/>
        <v>1.937664E-4</v>
      </c>
    </row>
    <row r="304" spans="1:7" x14ac:dyDescent="0.35">
      <c r="A304" s="1">
        <v>68810</v>
      </c>
      <c r="B304">
        <v>9.3620000000000005E-3</v>
      </c>
      <c r="C304">
        <v>1.338E-2</v>
      </c>
      <c r="D304">
        <v>1.7350000000000001E-2</v>
      </c>
      <c r="E304">
        <f t="shared" si="12"/>
        <v>1.3364000000000001E-2</v>
      </c>
      <c r="F304">
        <f t="shared" si="13"/>
        <v>0</v>
      </c>
      <c r="G304">
        <f t="shared" si="14"/>
        <v>1.7859649600000002E-4</v>
      </c>
    </row>
    <row r="305" spans="1:7" x14ac:dyDescent="0.35">
      <c r="A305" s="1">
        <v>72090</v>
      </c>
      <c r="B305">
        <v>9.8440000000000003E-3</v>
      </c>
      <c r="C305">
        <v>1.324E-2</v>
      </c>
      <c r="D305">
        <v>1.6729999999999998E-2</v>
      </c>
      <c r="E305">
        <f t="shared" si="12"/>
        <v>1.3271333333333335E-2</v>
      </c>
      <c r="F305">
        <f t="shared" si="13"/>
        <v>0</v>
      </c>
      <c r="G305">
        <f t="shared" si="14"/>
        <v>1.7612828844444447E-4</v>
      </c>
    </row>
    <row r="306" spans="1:7" x14ac:dyDescent="0.35">
      <c r="A306" s="1">
        <v>75370</v>
      </c>
      <c r="B306">
        <v>1.0319999999999999E-2</v>
      </c>
      <c r="C306">
        <v>1.418E-2</v>
      </c>
      <c r="D306">
        <v>1.6029999999999999E-2</v>
      </c>
      <c r="E306">
        <f t="shared" si="12"/>
        <v>1.3509999999999999E-2</v>
      </c>
      <c r="F306">
        <f t="shared" si="13"/>
        <v>0</v>
      </c>
      <c r="G306">
        <f t="shared" si="14"/>
        <v>1.8252009999999999E-4</v>
      </c>
    </row>
    <row r="307" spans="1:7" x14ac:dyDescent="0.35">
      <c r="A307" s="1">
        <v>78640</v>
      </c>
      <c r="B307">
        <v>1.093E-2</v>
      </c>
      <c r="C307">
        <v>1.528E-2</v>
      </c>
      <c r="D307">
        <v>1.5599999999999999E-2</v>
      </c>
      <c r="E307">
        <f t="shared" si="12"/>
        <v>1.3936666666666667E-2</v>
      </c>
      <c r="F307">
        <f t="shared" si="13"/>
        <v>0</v>
      </c>
      <c r="G307">
        <f t="shared" si="14"/>
        <v>1.9423067777777777E-4</v>
      </c>
    </row>
    <row r="308" spans="1:7" x14ac:dyDescent="0.35">
      <c r="A308" s="1">
        <v>81920</v>
      </c>
      <c r="B308">
        <v>1.102E-2</v>
      </c>
      <c r="C308">
        <v>1.6160000000000001E-2</v>
      </c>
      <c r="D308">
        <v>1.5299999999999999E-2</v>
      </c>
      <c r="E308">
        <f t="shared" si="12"/>
        <v>1.4160000000000001E-2</v>
      </c>
      <c r="F308">
        <f t="shared" si="13"/>
        <v>0</v>
      </c>
      <c r="G308">
        <f t="shared" si="14"/>
        <v>2.0050560000000001E-4</v>
      </c>
    </row>
    <row r="309" spans="1:7" x14ac:dyDescent="0.35">
      <c r="A309" s="1">
        <v>85200</v>
      </c>
      <c r="B309">
        <v>1.1089999999999999E-2</v>
      </c>
      <c r="C309">
        <v>1.6719999999999999E-2</v>
      </c>
      <c r="D309">
        <v>1.5310000000000001E-2</v>
      </c>
      <c r="E309">
        <f t="shared" si="12"/>
        <v>1.4373333333333333E-2</v>
      </c>
      <c r="F309">
        <f t="shared" si="13"/>
        <v>0</v>
      </c>
      <c r="G309">
        <f t="shared" si="14"/>
        <v>2.0659271111111112E-4</v>
      </c>
    </row>
    <row r="310" spans="1:7" x14ac:dyDescent="0.35">
      <c r="A310" s="1">
        <v>88470</v>
      </c>
      <c r="B310">
        <v>1.082E-2</v>
      </c>
      <c r="C310">
        <v>1.719E-2</v>
      </c>
      <c r="D310">
        <v>1.5709999999999998E-2</v>
      </c>
      <c r="E310">
        <f t="shared" si="12"/>
        <v>1.4573333333333332E-2</v>
      </c>
      <c r="F310">
        <f t="shared" si="13"/>
        <v>0</v>
      </c>
      <c r="G310">
        <f t="shared" si="14"/>
        <v>2.1238204444444441E-4</v>
      </c>
    </row>
    <row r="311" spans="1:7" x14ac:dyDescent="0.35">
      <c r="A311" s="1">
        <v>91750</v>
      </c>
      <c r="B311">
        <v>1.0800000000000001E-2</v>
      </c>
      <c r="C311">
        <v>1.7780000000000001E-2</v>
      </c>
      <c r="D311">
        <v>1.6330000000000001E-2</v>
      </c>
      <c r="E311">
        <f t="shared" si="12"/>
        <v>1.4970000000000002E-2</v>
      </c>
      <c r="F311">
        <f t="shared" si="13"/>
        <v>0</v>
      </c>
      <c r="G311">
        <f t="shared" si="14"/>
        <v>2.2410090000000006E-4</v>
      </c>
    </row>
    <row r="312" spans="1:7" x14ac:dyDescent="0.35">
      <c r="A312" s="1">
        <v>95030</v>
      </c>
      <c r="B312">
        <v>1.103E-2</v>
      </c>
      <c r="C312">
        <v>1.8669999999999999E-2</v>
      </c>
      <c r="D312">
        <v>1.7080000000000001E-2</v>
      </c>
      <c r="E312">
        <f t="shared" si="12"/>
        <v>1.5593333333333334E-2</v>
      </c>
      <c r="F312">
        <f t="shared" si="13"/>
        <v>0</v>
      </c>
      <c r="G312">
        <f t="shared" si="14"/>
        <v>2.4315204444444447E-4</v>
      </c>
    </row>
    <row r="313" spans="1:7" x14ac:dyDescent="0.35">
      <c r="A313" s="1">
        <v>98300</v>
      </c>
      <c r="B313">
        <v>1.136E-2</v>
      </c>
      <c r="C313">
        <v>2.0160000000000001E-2</v>
      </c>
      <c r="D313">
        <v>1.7809999999999999E-2</v>
      </c>
      <c r="E313">
        <f t="shared" si="12"/>
        <v>1.6443333333333334E-2</v>
      </c>
      <c r="F313">
        <f t="shared" si="13"/>
        <v>0</v>
      </c>
      <c r="G313">
        <f t="shared" si="14"/>
        <v>2.7038321111111114E-4</v>
      </c>
    </row>
    <row r="314" spans="1:7" x14ac:dyDescent="0.35">
      <c r="A314" s="1">
        <v>101600</v>
      </c>
      <c r="B314">
        <v>1.2030000000000001E-2</v>
      </c>
      <c r="C314">
        <v>2.2089999999999999E-2</v>
      </c>
      <c r="D314">
        <v>1.8669999999999999E-2</v>
      </c>
      <c r="E314">
        <f t="shared" si="12"/>
        <v>1.7596666666666667E-2</v>
      </c>
      <c r="F314">
        <f t="shared" si="13"/>
        <v>0</v>
      </c>
      <c r="G314">
        <f t="shared" si="14"/>
        <v>3.0964267777777781E-4</v>
      </c>
    </row>
    <row r="315" spans="1:7" x14ac:dyDescent="0.35">
      <c r="A315" s="1">
        <v>104900</v>
      </c>
      <c r="B315">
        <v>1.242E-2</v>
      </c>
      <c r="C315">
        <v>2.443E-2</v>
      </c>
      <c r="D315">
        <v>1.95E-2</v>
      </c>
      <c r="E315">
        <f t="shared" si="12"/>
        <v>1.8783333333333332E-2</v>
      </c>
      <c r="F315">
        <f t="shared" si="13"/>
        <v>0</v>
      </c>
      <c r="G315">
        <f t="shared" si="14"/>
        <v>3.5281361111111109E-4</v>
      </c>
    </row>
    <row r="316" spans="1:7" x14ac:dyDescent="0.35">
      <c r="A316" s="1">
        <v>111400</v>
      </c>
      <c r="B316">
        <v>1.282E-2</v>
      </c>
      <c r="C316">
        <v>2.921E-2</v>
      </c>
      <c r="D316">
        <v>2.1530000000000001E-2</v>
      </c>
      <c r="E316">
        <f t="shared" si="12"/>
        <v>2.118666666666667E-2</v>
      </c>
      <c r="F316">
        <f t="shared" si="13"/>
        <v>0</v>
      </c>
      <c r="G316">
        <f t="shared" si="14"/>
        <v>4.4887484444444459E-4</v>
      </c>
    </row>
    <row r="317" spans="1:7" x14ac:dyDescent="0.35">
      <c r="A317" s="1">
        <v>118000</v>
      </c>
      <c r="B317">
        <v>1.316E-2</v>
      </c>
      <c r="C317">
        <v>3.2969999999999999E-2</v>
      </c>
      <c r="D317">
        <v>2.3720000000000001E-2</v>
      </c>
      <c r="E317">
        <f t="shared" si="12"/>
        <v>2.3283333333333333E-2</v>
      </c>
      <c r="F317">
        <f t="shared" si="13"/>
        <v>0</v>
      </c>
      <c r="G317">
        <f t="shared" si="14"/>
        <v>5.4211361111111114E-4</v>
      </c>
    </row>
    <row r="318" spans="1:7" x14ac:dyDescent="0.35">
      <c r="A318" s="1">
        <v>124500</v>
      </c>
      <c r="B318">
        <v>1.362E-2</v>
      </c>
      <c r="C318">
        <v>3.5400000000000001E-2</v>
      </c>
      <c r="D318">
        <v>2.512E-2</v>
      </c>
      <c r="E318">
        <f t="shared" si="12"/>
        <v>2.4713333333333334E-2</v>
      </c>
      <c r="F318">
        <f t="shared" si="13"/>
        <v>0</v>
      </c>
      <c r="G318">
        <f t="shared" si="14"/>
        <v>6.1074884444444442E-4</v>
      </c>
    </row>
    <row r="319" spans="1:7" x14ac:dyDescent="0.35">
      <c r="A319" s="1">
        <v>131100</v>
      </c>
      <c r="B319">
        <v>1.421E-2</v>
      </c>
      <c r="C319">
        <v>3.6110000000000003E-2</v>
      </c>
      <c r="D319">
        <v>2.529E-2</v>
      </c>
      <c r="E319">
        <f t="shared" si="12"/>
        <v>2.5203333333333338E-2</v>
      </c>
      <c r="F319">
        <f t="shared" si="13"/>
        <v>0</v>
      </c>
      <c r="G319">
        <f t="shared" si="14"/>
        <v>6.3520801111111133E-4</v>
      </c>
    </row>
    <row r="320" spans="1:7" x14ac:dyDescent="0.35">
      <c r="A320" s="1">
        <v>137600</v>
      </c>
      <c r="B320">
        <v>1.389E-2</v>
      </c>
      <c r="C320">
        <v>3.6170000000000001E-2</v>
      </c>
      <c r="D320">
        <v>2.478E-2</v>
      </c>
      <c r="E320">
        <f t="shared" si="12"/>
        <v>2.4946666666666669E-2</v>
      </c>
      <c r="F320">
        <f t="shared" si="13"/>
        <v>0</v>
      </c>
      <c r="G320">
        <f t="shared" si="14"/>
        <v>6.2233617777777788E-4</v>
      </c>
    </row>
    <row r="321" spans="1:7" x14ac:dyDescent="0.35">
      <c r="A321" s="1">
        <v>144200</v>
      </c>
      <c r="B321">
        <v>1.304E-2</v>
      </c>
      <c r="C321">
        <v>3.5189999999999999E-2</v>
      </c>
      <c r="D321">
        <v>2.4500000000000001E-2</v>
      </c>
      <c r="E321">
        <f t="shared" si="12"/>
        <v>2.4243333333333329E-2</v>
      </c>
      <c r="F321">
        <f t="shared" si="13"/>
        <v>0</v>
      </c>
      <c r="G321">
        <f t="shared" si="14"/>
        <v>5.877392111111109E-4</v>
      </c>
    </row>
    <row r="322" spans="1:7" x14ac:dyDescent="0.35">
      <c r="A322" s="1">
        <v>150700</v>
      </c>
      <c r="B322">
        <v>1.243E-2</v>
      </c>
      <c r="C322">
        <v>3.3860000000000001E-2</v>
      </c>
      <c r="D322">
        <v>2.4500000000000001E-2</v>
      </c>
      <c r="E322">
        <f t="shared" si="12"/>
        <v>2.3596666666666665E-2</v>
      </c>
      <c r="F322">
        <f t="shared" si="13"/>
        <v>0</v>
      </c>
      <c r="G322">
        <f t="shared" si="14"/>
        <v>5.5680267777777771E-4</v>
      </c>
    </row>
    <row r="323" spans="1:7" x14ac:dyDescent="0.35">
      <c r="A323" s="1">
        <v>157300</v>
      </c>
      <c r="B323">
        <v>1.239E-2</v>
      </c>
      <c r="C323">
        <v>3.1879999999999999E-2</v>
      </c>
      <c r="D323">
        <v>2.4160000000000001E-2</v>
      </c>
      <c r="E323">
        <f t="shared" ref="E323:E386" si="15">AVERAGE(B323:D323)</f>
        <v>2.2809999999999997E-2</v>
      </c>
      <c r="F323">
        <f t="shared" ref="F323:F386" si="16">$J$2+$J$3*E323+$J$4*E323^2+$J$5*E323^3+$J$6*E323^4+$J$7*E323^5+$J$8*E323^6</f>
        <v>0</v>
      </c>
      <c r="G323">
        <f t="shared" ref="G323:G386" si="17">(E323-F323)^2</f>
        <v>5.2029609999999988E-4</v>
      </c>
    </row>
    <row r="324" spans="1:7" x14ac:dyDescent="0.35">
      <c r="A324" s="1">
        <v>163800</v>
      </c>
      <c r="B324">
        <v>1.2489999999999999E-2</v>
      </c>
      <c r="C324">
        <v>3.0200000000000001E-2</v>
      </c>
      <c r="D324">
        <v>2.3539999999999998E-2</v>
      </c>
      <c r="E324">
        <f t="shared" si="15"/>
        <v>2.2076666666666665E-2</v>
      </c>
      <c r="F324">
        <f t="shared" si="16"/>
        <v>0</v>
      </c>
      <c r="G324">
        <f t="shared" si="17"/>
        <v>4.8737921111111104E-4</v>
      </c>
    </row>
    <row r="325" spans="1:7" x14ac:dyDescent="0.35">
      <c r="A325" s="1">
        <v>170400</v>
      </c>
      <c r="B325">
        <v>1.183E-2</v>
      </c>
      <c r="C325">
        <v>2.8320000000000001E-2</v>
      </c>
      <c r="D325">
        <v>2.2759999999999999E-2</v>
      </c>
      <c r="E325">
        <f t="shared" si="15"/>
        <v>2.0970000000000003E-2</v>
      </c>
      <c r="F325">
        <f t="shared" si="16"/>
        <v>0</v>
      </c>
      <c r="G325">
        <f t="shared" si="17"/>
        <v>4.3974090000000013E-4</v>
      </c>
    </row>
    <row r="326" spans="1:7" x14ac:dyDescent="0.35">
      <c r="A326" s="1">
        <v>176900</v>
      </c>
      <c r="B326">
        <v>1.0919999999999999E-2</v>
      </c>
      <c r="C326">
        <v>2.5870000000000001E-2</v>
      </c>
      <c r="D326">
        <v>2.1420000000000002E-2</v>
      </c>
      <c r="E326">
        <f t="shared" si="15"/>
        <v>1.9403333333333335E-2</v>
      </c>
      <c r="F326">
        <f t="shared" si="16"/>
        <v>0</v>
      </c>
      <c r="G326">
        <f t="shared" si="17"/>
        <v>3.7648934444444452E-4</v>
      </c>
    </row>
    <row r="327" spans="1:7" x14ac:dyDescent="0.35">
      <c r="A327" s="1">
        <v>183500</v>
      </c>
      <c r="B327">
        <v>9.953E-3</v>
      </c>
      <c r="C327">
        <v>2.2919999999999999E-2</v>
      </c>
      <c r="D327">
        <v>1.9939999999999999E-2</v>
      </c>
      <c r="E327">
        <f t="shared" si="15"/>
        <v>1.7604333333333333E-2</v>
      </c>
      <c r="F327">
        <f t="shared" si="16"/>
        <v>0</v>
      </c>
      <c r="G327">
        <f t="shared" si="17"/>
        <v>3.0991255211111109E-4</v>
      </c>
    </row>
    <row r="328" spans="1:7" x14ac:dyDescent="0.35">
      <c r="A328" s="1">
        <v>190100</v>
      </c>
      <c r="B328">
        <v>9.4369999999999992E-3</v>
      </c>
      <c r="C328">
        <v>2.052E-2</v>
      </c>
      <c r="D328">
        <v>1.8499999999999999E-2</v>
      </c>
      <c r="E328">
        <f t="shared" si="15"/>
        <v>1.6152333333333335E-2</v>
      </c>
      <c r="F328">
        <f t="shared" si="16"/>
        <v>0</v>
      </c>
      <c r="G328">
        <f t="shared" si="17"/>
        <v>2.6089787211111114E-4</v>
      </c>
    </row>
    <row r="329" spans="1:7" x14ac:dyDescent="0.35">
      <c r="A329" s="1">
        <v>196600</v>
      </c>
      <c r="B329">
        <v>9.1610000000000007E-3</v>
      </c>
      <c r="C329">
        <v>1.916E-2</v>
      </c>
      <c r="D329">
        <v>1.763E-2</v>
      </c>
      <c r="E329">
        <f t="shared" si="15"/>
        <v>1.5316999999999999E-2</v>
      </c>
      <c r="F329">
        <f t="shared" si="16"/>
        <v>0</v>
      </c>
      <c r="G329">
        <f t="shared" si="17"/>
        <v>2.3461048899999998E-4</v>
      </c>
    </row>
    <row r="330" spans="1:7" x14ac:dyDescent="0.35">
      <c r="A330" s="1">
        <v>203200</v>
      </c>
      <c r="B330">
        <v>9.3849999999999992E-3</v>
      </c>
      <c r="C330">
        <v>1.8550000000000001E-2</v>
      </c>
      <c r="D330">
        <v>1.702E-2</v>
      </c>
      <c r="E330">
        <f t="shared" si="15"/>
        <v>1.4985E-2</v>
      </c>
      <c r="F330">
        <f t="shared" si="16"/>
        <v>0</v>
      </c>
      <c r="G330">
        <f t="shared" si="17"/>
        <v>2.2455022500000001E-4</v>
      </c>
    </row>
    <row r="331" spans="1:7" x14ac:dyDescent="0.35">
      <c r="A331" s="1">
        <v>209700</v>
      </c>
      <c r="B331">
        <v>9.6369999999999997E-3</v>
      </c>
      <c r="C331">
        <v>1.772E-2</v>
      </c>
      <c r="D331">
        <v>1.6709999999999999E-2</v>
      </c>
      <c r="E331">
        <f t="shared" si="15"/>
        <v>1.4688999999999999E-2</v>
      </c>
      <c r="F331">
        <f t="shared" si="16"/>
        <v>0</v>
      </c>
      <c r="G331">
        <f t="shared" si="17"/>
        <v>2.1576672099999996E-4</v>
      </c>
    </row>
    <row r="332" spans="1:7" x14ac:dyDescent="0.35">
      <c r="A332" s="1">
        <v>222800</v>
      </c>
      <c r="B332">
        <v>1.056E-2</v>
      </c>
      <c r="C332">
        <v>1.627E-2</v>
      </c>
      <c r="D332">
        <v>1.653E-2</v>
      </c>
      <c r="E332">
        <f t="shared" si="15"/>
        <v>1.4453333333333332E-2</v>
      </c>
      <c r="F332">
        <f t="shared" si="16"/>
        <v>0</v>
      </c>
      <c r="G332">
        <f t="shared" si="17"/>
        <v>2.0889884444444441E-4</v>
      </c>
    </row>
    <row r="333" spans="1:7" x14ac:dyDescent="0.35">
      <c r="A333" s="1">
        <v>235900</v>
      </c>
      <c r="B333">
        <v>1.145E-2</v>
      </c>
      <c r="C333">
        <v>1.457E-2</v>
      </c>
      <c r="D333">
        <v>1.6449999999999999E-2</v>
      </c>
      <c r="E333">
        <f t="shared" si="15"/>
        <v>1.4156666666666666E-2</v>
      </c>
      <c r="F333">
        <f t="shared" si="16"/>
        <v>0</v>
      </c>
      <c r="G333">
        <f t="shared" si="17"/>
        <v>2.004112111111111E-4</v>
      </c>
    </row>
    <row r="334" spans="1:7" x14ac:dyDescent="0.35">
      <c r="A334" s="1">
        <v>249000</v>
      </c>
      <c r="B334">
        <v>1.166E-2</v>
      </c>
      <c r="C334">
        <v>1.282E-2</v>
      </c>
      <c r="D334">
        <v>1.5769999999999999E-2</v>
      </c>
      <c r="E334">
        <f t="shared" si="15"/>
        <v>1.3416666666666667E-2</v>
      </c>
      <c r="F334">
        <f t="shared" si="16"/>
        <v>0</v>
      </c>
      <c r="G334">
        <f t="shared" si="17"/>
        <v>1.8000694444444444E-4</v>
      </c>
    </row>
    <row r="335" spans="1:7" x14ac:dyDescent="0.35">
      <c r="A335" s="1">
        <v>262100</v>
      </c>
      <c r="B335">
        <v>1.1379999999999999E-2</v>
      </c>
      <c r="C335">
        <v>1.171E-2</v>
      </c>
      <c r="D335">
        <v>1.485E-2</v>
      </c>
      <c r="E335">
        <f t="shared" si="15"/>
        <v>1.2646666666666667E-2</v>
      </c>
      <c r="F335">
        <f t="shared" si="16"/>
        <v>0</v>
      </c>
      <c r="G335">
        <f t="shared" si="17"/>
        <v>1.5993817777777778E-4</v>
      </c>
    </row>
    <row r="336" spans="1:7" x14ac:dyDescent="0.35">
      <c r="A336" s="1">
        <v>275300</v>
      </c>
      <c r="B336">
        <v>1.125E-2</v>
      </c>
      <c r="C336">
        <v>1.1599999999999999E-2</v>
      </c>
      <c r="D336">
        <v>1.397E-2</v>
      </c>
      <c r="E336">
        <f t="shared" si="15"/>
        <v>1.2273333333333332E-2</v>
      </c>
      <c r="F336">
        <f t="shared" si="16"/>
        <v>0</v>
      </c>
      <c r="G336">
        <f t="shared" si="17"/>
        <v>1.506347111111111E-4</v>
      </c>
    </row>
    <row r="337" spans="1:7" x14ac:dyDescent="0.35">
      <c r="A337" s="1">
        <v>288400</v>
      </c>
      <c r="B337">
        <v>1.196E-2</v>
      </c>
      <c r="C337">
        <v>1.2489999999999999E-2</v>
      </c>
      <c r="D337">
        <v>1.417E-2</v>
      </c>
      <c r="E337">
        <f t="shared" si="15"/>
        <v>1.2873333333333334E-2</v>
      </c>
      <c r="F337">
        <f t="shared" si="16"/>
        <v>0</v>
      </c>
      <c r="G337">
        <f t="shared" si="17"/>
        <v>1.6572271111111111E-4</v>
      </c>
    </row>
    <row r="338" spans="1:7" x14ac:dyDescent="0.35">
      <c r="A338" s="1">
        <v>301500</v>
      </c>
      <c r="B338">
        <v>1.26E-2</v>
      </c>
      <c r="C338">
        <v>1.4500000000000001E-2</v>
      </c>
      <c r="D338">
        <v>1.61E-2</v>
      </c>
      <c r="E338">
        <f t="shared" si="15"/>
        <v>1.4400000000000001E-2</v>
      </c>
      <c r="F338">
        <f t="shared" si="16"/>
        <v>0</v>
      </c>
      <c r="G338">
        <f t="shared" si="17"/>
        <v>2.0736000000000005E-4</v>
      </c>
    </row>
    <row r="339" spans="1:7" x14ac:dyDescent="0.35">
      <c r="A339" s="1">
        <v>314600</v>
      </c>
      <c r="B339">
        <v>1.3089999999999999E-2</v>
      </c>
      <c r="C339">
        <v>1.866E-2</v>
      </c>
      <c r="D339">
        <v>1.9279999999999999E-2</v>
      </c>
      <c r="E339">
        <f t="shared" si="15"/>
        <v>1.7010000000000001E-2</v>
      </c>
      <c r="F339">
        <f t="shared" si="16"/>
        <v>0</v>
      </c>
      <c r="G339">
        <f t="shared" si="17"/>
        <v>2.8934010000000005E-4</v>
      </c>
    </row>
    <row r="340" spans="1:7" x14ac:dyDescent="0.35">
      <c r="A340" s="1">
        <v>327700</v>
      </c>
      <c r="B340">
        <v>1.341E-2</v>
      </c>
      <c r="C340">
        <v>2.325E-2</v>
      </c>
      <c r="D340">
        <v>2.2509999999999999E-2</v>
      </c>
      <c r="E340">
        <f t="shared" si="15"/>
        <v>1.9723333333333332E-2</v>
      </c>
      <c r="F340">
        <f t="shared" si="16"/>
        <v>0</v>
      </c>
      <c r="G340">
        <f t="shared" si="17"/>
        <v>3.8900987777777771E-4</v>
      </c>
    </row>
    <row r="341" spans="1:7" x14ac:dyDescent="0.35">
      <c r="A341" s="1">
        <v>340800</v>
      </c>
      <c r="B341">
        <v>1.383E-2</v>
      </c>
      <c r="C341">
        <v>2.7179999999999999E-2</v>
      </c>
      <c r="D341">
        <v>2.3980000000000001E-2</v>
      </c>
      <c r="E341">
        <f t="shared" si="15"/>
        <v>2.166333333333333E-2</v>
      </c>
      <c r="F341">
        <f t="shared" si="16"/>
        <v>0</v>
      </c>
      <c r="G341">
        <f t="shared" si="17"/>
        <v>4.6930001111111097E-4</v>
      </c>
    </row>
    <row r="342" spans="1:7" x14ac:dyDescent="0.35">
      <c r="A342" s="1">
        <v>353900</v>
      </c>
      <c r="B342">
        <v>1.325E-2</v>
      </c>
      <c r="C342">
        <v>2.6800000000000001E-2</v>
      </c>
      <c r="D342">
        <v>2.3029999999999998E-2</v>
      </c>
      <c r="E342">
        <f t="shared" si="15"/>
        <v>2.1026666666666666E-2</v>
      </c>
      <c r="F342">
        <f t="shared" si="16"/>
        <v>0</v>
      </c>
      <c r="G342">
        <f t="shared" si="17"/>
        <v>4.4212071111111108E-4</v>
      </c>
    </row>
    <row r="343" spans="1:7" x14ac:dyDescent="0.35">
      <c r="A343" s="1">
        <v>367000</v>
      </c>
      <c r="B343">
        <v>1.247E-2</v>
      </c>
      <c r="C343">
        <v>2.436E-2</v>
      </c>
      <c r="D343">
        <v>2.001E-2</v>
      </c>
      <c r="E343">
        <f t="shared" si="15"/>
        <v>1.8946666666666667E-2</v>
      </c>
      <c r="F343">
        <f t="shared" si="16"/>
        <v>0</v>
      </c>
      <c r="G343">
        <f t="shared" si="17"/>
        <v>3.589761777777778E-4</v>
      </c>
    </row>
    <row r="344" spans="1:7" x14ac:dyDescent="0.35">
      <c r="A344" s="1">
        <v>380100</v>
      </c>
      <c r="B344">
        <v>1.166E-2</v>
      </c>
      <c r="C344">
        <v>1.9800000000000002E-2</v>
      </c>
      <c r="D344">
        <v>1.6539999999999999E-2</v>
      </c>
      <c r="E344">
        <f t="shared" si="15"/>
        <v>1.6E-2</v>
      </c>
      <c r="F344">
        <f t="shared" si="16"/>
        <v>0</v>
      </c>
      <c r="G344">
        <f t="shared" si="17"/>
        <v>2.5599999999999999E-4</v>
      </c>
    </row>
    <row r="345" spans="1:7" x14ac:dyDescent="0.35">
      <c r="A345" s="1">
        <v>393200</v>
      </c>
      <c r="B345">
        <v>1.159E-2</v>
      </c>
      <c r="C345">
        <v>1.6400000000000001E-2</v>
      </c>
      <c r="D345">
        <v>1.393E-2</v>
      </c>
      <c r="E345">
        <f t="shared" si="15"/>
        <v>1.3973333333333332E-2</v>
      </c>
      <c r="F345">
        <f t="shared" si="16"/>
        <v>0</v>
      </c>
      <c r="G345">
        <f t="shared" si="17"/>
        <v>1.9525404444444442E-4</v>
      </c>
    </row>
    <row r="346" spans="1:7" x14ac:dyDescent="0.35">
      <c r="A346" s="1">
        <v>406300</v>
      </c>
      <c r="B346">
        <v>1.218E-2</v>
      </c>
      <c r="C346">
        <v>1.379E-2</v>
      </c>
      <c r="D346">
        <v>1.278E-2</v>
      </c>
      <c r="E346">
        <f t="shared" si="15"/>
        <v>1.2916666666666667E-2</v>
      </c>
      <c r="F346">
        <f t="shared" si="16"/>
        <v>0</v>
      </c>
      <c r="G346">
        <f t="shared" si="17"/>
        <v>1.6684027777777777E-4</v>
      </c>
    </row>
    <row r="347" spans="1:7" x14ac:dyDescent="0.35">
      <c r="A347" s="1">
        <v>419400</v>
      </c>
      <c r="B347">
        <v>1.2540000000000001E-2</v>
      </c>
      <c r="C347">
        <v>1.3129999999999999E-2</v>
      </c>
      <c r="D347">
        <v>1.3089999999999999E-2</v>
      </c>
      <c r="E347">
        <f t="shared" si="15"/>
        <v>1.2919999999999999E-2</v>
      </c>
      <c r="F347">
        <f t="shared" si="16"/>
        <v>0</v>
      </c>
      <c r="G347">
        <f t="shared" si="17"/>
        <v>1.6692639999999997E-4</v>
      </c>
    </row>
    <row r="348" spans="1:7" x14ac:dyDescent="0.35">
      <c r="A348" s="1">
        <v>445600</v>
      </c>
      <c r="B348">
        <v>1.311E-2</v>
      </c>
      <c r="C348">
        <v>1.486E-2</v>
      </c>
      <c r="D348">
        <v>1.6129999999999999E-2</v>
      </c>
      <c r="E348">
        <f t="shared" si="15"/>
        <v>1.47E-2</v>
      </c>
      <c r="F348">
        <f t="shared" si="16"/>
        <v>0</v>
      </c>
      <c r="G348">
        <f t="shared" si="17"/>
        <v>2.1609E-4</v>
      </c>
    </row>
    <row r="349" spans="1:7" x14ac:dyDescent="0.35">
      <c r="A349" s="1">
        <v>471900</v>
      </c>
      <c r="B349">
        <v>1.3429999999999999E-2</v>
      </c>
      <c r="C349">
        <v>1.8509999999999999E-2</v>
      </c>
      <c r="D349">
        <v>1.941E-2</v>
      </c>
      <c r="E349">
        <f t="shared" si="15"/>
        <v>1.7116666666666665E-2</v>
      </c>
      <c r="F349">
        <f t="shared" si="16"/>
        <v>0</v>
      </c>
      <c r="G349">
        <f t="shared" si="17"/>
        <v>2.9298027777777775E-4</v>
      </c>
    </row>
    <row r="350" spans="1:7" x14ac:dyDescent="0.35">
      <c r="A350" s="1">
        <v>498100</v>
      </c>
      <c r="B350">
        <v>1.3639999999999999E-2</v>
      </c>
      <c r="C350">
        <v>2.0650000000000002E-2</v>
      </c>
      <c r="D350">
        <v>2.0809999999999999E-2</v>
      </c>
      <c r="E350">
        <f t="shared" si="15"/>
        <v>1.8366666666666667E-2</v>
      </c>
      <c r="F350">
        <f t="shared" si="16"/>
        <v>0</v>
      </c>
      <c r="G350">
        <f t="shared" si="17"/>
        <v>3.3733444444444442E-4</v>
      </c>
    </row>
    <row r="351" spans="1:7" x14ac:dyDescent="0.35">
      <c r="A351" s="1">
        <v>524300</v>
      </c>
      <c r="B351">
        <v>1.393E-2</v>
      </c>
      <c r="C351">
        <v>2.0230000000000001E-2</v>
      </c>
      <c r="D351">
        <v>1.9269999999999999E-2</v>
      </c>
      <c r="E351">
        <f t="shared" si="15"/>
        <v>1.7810000000000003E-2</v>
      </c>
      <c r="F351">
        <f t="shared" si="16"/>
        <v>0</v>
      </c>
      <c r="G351">
        <f t="shared" si="17"/>
        <v>3.1719610000000009E-4</v>
      </c>
    </row>
    <row r="352" spans="1:7" x14ac:dyDescent="0.35">
      <c r="A352" s="1">
        <v>550500</v>
      </c>
      <c r="B352">
        <v>1.38E-2</v>
      </c>
      <c r="C352">
        <v>1.8159999999999999E-2</v>
      </c>
      <c r="D352">
        <v>1.7100000000000001E-2</v>
      </c>
      <c r="E352">
        <f t="shared" si="15"/>
        <v>1.6353333333333334E-2</v>
      </c>
      <c r="F352">
        <f t="shared" si="16"/>
        <v>0</v>
      </c>
      <c r="G352">
        <f t="shared" si="17"/>
        <v>2.6743151111111117E-4</v>
      </c>
    </row>
    <row r="353" spans="1:7" x14ac:dyDescent="0.35">
      <c r="A353" s="1">
        <v>576700</v>
      </c>
      <c r="B353">
        <v>1.3650000000000001E-2</v>
      </c>
      <c r="C353">
        <v>1.6629999999999999E-2</v>
      </c>
      <c r="D353">
        <v>1.5820000000000001E-2</v>
      </c>
      <c r="E353">
        <f t="shared" si="15"/>
        <v>1.5366666666666667E-2</v>
      </c>
      <c r="F353">
        <f t="shared" si="16"/>
        <v>0</v>
      </c>
      <c r="G353">
        <f t="shared" si="17"/>
        <v>2.3613444444444448E-4</v>
      </c>
    </row>
    <row r="354" spans="1:7" x14ac:dyDescent="0.35">
      <c r="A354" s="1">
        <v>602900</v>
      </c>
      <c r="B354">
        <v>1.3310000000000001E-2</v>
      </c>
      <c r="C354">
        <v>1.6400000000000001E-2</v>
      </c>
      <c r="D354">
        <v>1.6330000000000001E-2</v>
      </c>
      <c r="E354">
        <f t="shared" si="15"/>
        <v>1.5346666666666666E-2</v>
      </c>
      <c r="F354">
        <f t="shared" si="16"/>
        <v>0</v>
      </c>
      <c r="G354">
        <f t="shared" si="17"/>
        <v>2.3552017777777776E-4</v>
      </c>
    </row>
    <row r="355" spans="1:7" x14ac:dyDescent="0.35">
      <c r="A355" s="1">
        <v>629100</v>
      </c>
      <c r="B355">
        <v>1.2409999999999999E-2</v>
      </c>
      <c r="C355">
        <v>1.77E-2</v>
      </c>
      <c r="D355">
        <v>1.8589999999999999E-2</v>
      </c>
      <c r="E355">
        <f t="shared" si="15"/>
        <v>1.6233333333333332E-2</v>
      </c>
      <c r="F355">
        <f t="shared" si="16"/>
        <v>0</v>
      </c>
      <c r="G355">
        <f t="shared" si="17"/>
        <v>2.635211111111111E-4</v>
      </c>
    </row>
    <row r="356" spans="1:7" x14ac:dyDescent="0.35">
      <c r="A356" s="1">
        <v>655400</v>
      </c>
      <c r="B356">
        <v>1.209E-2</v>
      </c>
      <c r="C356">
        <v>2.181E-2</v>
      </c>
      <c r="D356">
        <v>2.1999999999999999E-2</v>
      </c>
      <c r="E356">
        <f t="shared" si="15"/>
        <v>1.8633333333333332E-2</v>
      </c>
      <c r="F356">
        <f t="shared" si="16"/>
        <v>0</v>
      </c>
      <c r="G356">
        <f t="shared" si="17"/>
        <v>3.4720111111111103E-4</v>
      </c>
    </row>
    <row r="357" spans="1:7" x14ac:dyDescent="0.35">
      <c r="A357" s="1">
        <v>681600</v>
      </c>
      <c r="B357">
        <v>1.201E-2</v>
      </c>
      <c r="C357">
        <v>2.4899999999999999E-2</v>
      </c>
      <c r="D357">
        <v>2.393E-2</v>
      </c>
      <c r="E357">
        <f t="shared" si="15"/>
        <v>2.0279999999999999E-2</v>
      </c>
      <c r="F357">
        <f t="shared" si="16"/>
        <v>0</v>
      </c>
      <c r="G357">
        <f t="shared" si="17"/>
        <v>4.1127839999999998E-4</v>
      </c>
    </row>
    <row r="358" spans="1:7" x14ac:dyDescent="0.35">
      <c r="A358" s="1">
        <v>707800</v>
      </c>
      <c r="B358">
        <v>1.218E-2</v>
      </c>
      <c r="C358">
        <v>2.445E-2</v>
      </c>
      <c r="D358">
        <v>2.2360000000000001E-2</v>
      </c>
      <c r="E358">
        <f t="shared" si="15"/>
        <v>1.9663333333333335E-2</v>
      </c>
      <c r="F358">
        <f t="shared" si="16"/>
        <v>0</v>
      </c>
      <c r="G358">
        <f t="shared" si="17"/>
        <v>3.8664667777777784E-4</v>
      </c>
    </row>
    <row r="359" spans="1:7" x14ac:dyDescent="0.35">
      <c r="A359" s="1">
        <v>734000</v>
      </c>
      <c r="B359">
        <v>1.2189999999999999E-2</v>
      </c>
      <c r="C359">
        <v>2.1059999999999999E-2</v>
      </c>
      <c r="D359">
        <v>1.95E-2</v>
      </c>
      <c r="E359">
        <f t="shared" si="15"/>
        <v>1.7583333333333336E-2</v>
      </c>
      <c r="F359">
        <f t="shared" si="16"/>
        <v>0</v>
      </c>
      <c r="G359">
        <f t="shared" si="17"/>
        <v>3.0917361111111119E-4</v>
      </c>
    </row>
    <row r="360" spans="1:7" x14ac:dyDescent="0.35">
      <c r="A360" s="1">
        <v>760200</v>
      </c>
      <c r="B360">
        <v>1.248E-2</v>
      </c>
      <c r="C360">
        <v>1.9189999999999999E-2</v>
      </c>
      <c r="D360">
        <v>1.848E-2</v>
      </c>
      <c r="E360">
        <f t="shared" si="15"/>
        <v>1.6716666666666668E-2</v>
      </c>
      <c r="F360">
        <f t="shared" si="16"/>
        <v>0</v>
      </c>
      <c r="G360">
        <f t="shared" si="17"/>
        <v>2.7944694444444451E-4</v>
      </c>
    </row>
    <row r="361" spans="1:7" x14ac:dyDescent="0.35">
      <c r="A361" s="1">
        <v>786400</v>
      </c>
      <c r="B361">
        <v>1.295E-2</v>
      </c>
      <c r="C361">
        <v>2.2440000000000002E-2</v>
      </c>
      <c r="D361">
        <v>2.0469999999999999E-2</v>
      </c>
      <c r="E361">
        <f t="shared" si="15"/>
        <v>1.8620000000000001E-2</v>
      </c>
      <c r="F361">
        <f t="shared" si="16"/>
        <v>0</v>
      </c>
      <c r="G361">
        <f t="shared" si="17"/>
        <v>3.4670440000000006E-4</v>
      </c>
    </row>
    <row r="362" spans="1:7" x14ac:dyDescent="0.35">
      <c r="A362" s="1">
        <v>812600</v>
      </c>
      <c r="B362">
        <v>1.332E-2</v>
      </c>
      <c r="C362">
        <v>2.717E-2</v>
      </c>
      <c r="D362">
        <v>2.333E-2</v>
      </c>
      <c r="E362">
        <f t="shared" si="15"/>
        <v>2.1273333333333335E-2</v>
      </c>
      <c r="F362">
        <f t="shared" si="16"/>
        <v>0</v>
      </c>
      <c r="G362">
        <f t="shared" si="17"/>
        <v>4.5255471111111116E-4</v>
      </c>
    </row>
    <row r="363" spans="1:7" x14ac:dyDescent="0.35">
      <c r="A363" s="1">
        <v>838900</v>
      </c>
      <c r="B363">
        <v>1.315E-2</v>
      </c>
      <c r="C363">
        <v>2.903E-2</v>
      </c>
      <c r="D363">
        <v>2.376E-2</v>
      </c>
      <c r="E363">
        <f t="shared" si="15"/>
        <v>2.198E-2</v>
      </c>
      <c r="F363">
        <f t="shared" si="16"/>
        <v>0</v>
      </c>
      <c r="G363">
        <f t="shared" si="17"/>
        <v>4.831204E-4</v>
      </c>
    </row>
    <row r="364" spans="1:7" x14ac:dyDescent="0.35">
      <c r="A364" s="1">
        <v>891300</v>
      </c>
      <c r="B364">
        <v>1.3129999999999999E-2</v>
      </c>
      <c r="C364">
        <v>2.649E-2</v>
      </c>
      <c r="D364">
        <v>2.162E-2</v>
      </c>
      <c r="E364">
        <f t="shared" si="15"/>
        <v>2.0413333333333335E-2</v>
      </c>
      <c r="F364">
        <f t="shared" si="16"/>
        <v>0</v>
      </c>
      <c r="G364">
        <f t="shared" si="17"/>
        <v>4.1670417777777785E-4</v>
      </c>
    </row>
    <row r="365" spans="1:7" x14ac:dyDescent="0.35">
      <c r="A365" s="1">
        <v>943700</v>
      </c>
      <c r="B365">
        <v>1.278E-2</v>
      </c>
      <c r="C365">
        <v>2.3990000000000001E-2</v>
      </c>
      <c r="D365">
        <v>1.9640000000000001E-2</v>
      </c>
      <c r="E365">
        <f t="shared" si="15"/>
        <v>1.8803333333333335E-2</v>
      </c>
      <c r="F365">
        <f t="shared" si="16"/>
        <v>0</v>
      </c>
      <c r="G365">
        <f t="shared" si="17"/>
        <v>3.535653444444445E-4</v>
      </c>
    </row>
    <row r="366" spans="1:7" x14ac:dyDescent="0.35">
      <c r="A366" s="1">
        <v>996100</v>
      </c>
      <c r="B366">
        <v>1.2630000000000001E-2</v>
      </c>
      <c r="C366">
        <v>2.3259999999999999E-2</v>
      </c>
      <c r="D366">
        <v>1.942E-2</v>
      </c>
      <c r="E366">
        <f t="shared" si="15"/>
        <v>1.8436666666666667E-2</v>
      </c>
      <c r="F366">
        <f t="shared" si="16"/>
        <v>0</v>
      </c>
      <c r="G366">
        <f t="shared" si="17"/>
        <v>3.3991067777777782E-4</v>
      </c>
    </row>
    <row r="367" spans="1:7" x14ac:dyDescent="0.35">
      <c r="A367" s="1">
        <v>1049000</v>
      </c>
      <c r="B367">
        <v>1.2019999999999999E-2</v>
      </c>
      <c r="C367">
        <v>2.2239999999999999E-2</v>
      </c>
      <c r="D367">
        <v>1.8620000000000001E-2</v>
      </c>
      <c r="E367">
        <f t="shared" si="15"/>
        <v>1.7626666666666665E-2</v>
      </c>
      <c r="F367">
        <f t="shared" si="16"/>
        <v>0</v>
      </c>
      <c r="G367">
        <f t="shared" si="17"/>
        <v>3.1069937777777776E-4</v>
      </c>
    </row>
    <row r="368" spans="1:7" x14ac:dyDescent="0.35">
      <c r="A368" s="1">
        <v>1101000</v>
      </c>
      <c r="B368">
        <v>1.146E-2</v>
      </c>
      <c r="C368">
        <v>2.146E-2</v>
      </c>
      <c r="D368">
        <v>1.7840000000000002E-2</v>
      </c>
      <c r="E368">
        <f t="shared" si="15"/>
        <v>1.6920000000000001E-2</v>
      </c>
      <c r="F368">
        <f t="shared" si="16"/>
        <v>0</v>
      </c>
      <c r="G368">
        <f t="shared" si="17"/>
        <v>2.8628640000000004E-4</v>
      </c>
    </row>
    <row r="369" spans="1:7" x14ac:dyDescent="0.35">
      <c r="A369" s="1">
        <v>1153000</v>
      </c>
      <c r="B369">
        <v>1.0630000000000001E-2</v>
      </c>
      <c r="C369">
        <v>2.1239999999999998E-2</v>
      </c>
      <c r="D369">
        <v>1.7469999999999999E-2</v>
      </c>
      <c r="E369">
        <f t="shared" si="15"/>
        <v>1.6446666666666665E-2</v>
      </c>
      <c r="F369">
        <f t="shared" si="16"/>
        <v>0</v>
      </c>
      <c r="G369">
        <f t="shared" si="17"/>
        <v>2.7049284444444438E-4</v>
      </c>
    </row>
    <row r="370" spans="1:7" x14ac:dyDescent="0.35">
      <c r="A370" s="1">
        <v>1206000</v>
      </c>
      <c r="B370">
        <v>1.004E-2</v>
      </c>
      <c r="C370">
        <v>2.018E-2</v>
      </c>
      <c r="D370">
        <v>1.7340000000000001E-2</v>
      </c>
      <c r="E370">
        <f t="shared" si="15"/>
        <v>1.5853333333333334E-2</v>
      </c>
      <c r="F370">
        <f t="shared" si="16"/>
        <v>0</v>
      </c>
      <c r="G370">
        <f t="shared" si="17"/>
        <v>2.5132817777777779E-4</v>
      </c>
    </row>
    <row r="371" spans="1:7" x14ac:dyDescent="0.35">
      <c r="A371" s="1">
        <v>1258000</v>
      </c>
      <c r="B371">
        <v>9.6919999999999992E-3</v>
      </c>
      <c r="C371">
        <v>1.8509999999999999E-2</v>
      </c>
      <c r="D371">
        <v>1.729E-2</v>
      </c>
      <c r="E371">
        <f t="shared" si="15"/>
        <v>1.5163999999999999E-2</v>
      </c>
      <c r="F371">
        <f t="shared" si="16"/>
        <v>0</v>
      </c>
      <c r="G371">
        <f t="shared" si="17"/>
        <v>2.2994689599999997E-4</v>
      </c>
    </row>
    <row r="372" spans="1:7" x14ac:dyDescent="0.35">
      <c r="A372" s="1">
        <v>1311000</v>
      </c>
      <c r="B372">
        <v>9.2329999999999999E-3</v>
      </c>
      <c r="C372">
        <v>1.686E-2</v>
      </c>
      <c r="D372">
        <v>1.7229999999999999E-2</v>
      </c>
      <c r="E372">
        <f t="shared" si="15"/>
        <v>1.4441000000000001E-2</v>
      </c>
      <c r="F372">
        <f t="shared" si="16"/>
        <v>0</v>
      </c>
      <c r="G372">
        <f t="shared" si="17"/>
        <v>2.0854248100000001E-4</v>
      </c>
    </row>
    <row r="373" spans="1:7" x14ac:dyDescent="0.35">
      <c r="A373" s="1">
        <v>1363000</v>
      </c>
      <c r="B373">
        <v>8.5500000000000003E-3</v>
      </c>
      <c r="C373">
        <v>1.5389999999999999E-2</v>
      </c>
      <c r="D373">
        <v>1.6660000000000001E-2</v>
      </c>
      <c r="E373">
        <f t="shared" si="15"/>
        <v>1.3533333333333333E-2</v>
      </c>
      <c r="F373">
        <f t="shared" si="16"/>
        <v>0</v>
      </c>
      <c r="G373">
        <f t="shared" si="17"/>
        <v>1.8315111111111111E-4</v>
      </c>
    </row>
    <row r="374" spans="1:7" x14ac:dyDescent="0.35">
      <c r="A374" s="1">
        <v>1416000</v>
      </c>
      <c r="B374">
        <v>7.1989999999999997E-3</v>
      </c>
      <c r="C374">
        <v>1.391E-2</v>
      </c>
      <c r="D374">
        <v>1.532E-2</v>
      </c>
      <c r="E374">
        <f t="shared" si="15"/>
        <v>1.2143000000000001E-2</v>
      </c>
      <c r="F374">
        <f t="shared" si="16"/>
        <v>0</v>
      </c>
      <c r="G374">
        <f t="shared" si="17"/>
        <v>1.4745244900000003E-4</v>
      </c>
    </row>
    <row r="375" spans="1:7" x14ac:dyDescent="0.35">
      <c r="A375" s="1">
        <v>1468000</v>
      </c>
      <c r="B375">
        <v>6.0769999999999999E-3</v>
      </c>
      <c r="C375">
        <v>1.329E-2</v>
      </c>
      <c r="D375">
        <v>1.2789999999999999E-2</v>
      </c>
      <c r="E375">
        <f t="shared" si="15"/>
        <v>1.0718999999999999E-2</v>
      </c>
      <c r="F375">
        <f t="shared" si="16"/>
        <v>0</v>
      </c>
      <c r="G375">
        <f t="shared" si="17"/>
        <v>1.1489696099999999E-4</v>
      </c>
    </row>
    <row r="376" spans="1:7" x14ac:dyDescent="0.35">
      <c r="A376" s="1">
        <v>1520000</v>
      </c>
      <c r="B376">
        <v>4.8999999999999998E-3</v>
      </c>
      <c r="C376">
        <v>1.2330000000000001E-2</v>
      </c>
      <c r="D376">
        <v>9.8169999999999993E-3</v>
      </c>
      <c r="E376">
        <f t="shared" si="15"/>
        <v>9.0156666666666666E-3</v>
      </c>
      <c r="F376">
        <f t="shared" si="16"/>
        <v>0</v>
      </c>
      <c r="G376">
        <f t="shared" si="17"/>
        <v>8.1282245444444444E-5</v>
      </c>
    </row>
    <row r="377" spans="1:7" x14ac:dyDescent="0.35">
      <c r="A377" s="1">
        <v>1573000</v>
      </c>
      <c r="B377">
        <v>4.1380000000000002E-3</v>
      </c>
      <c r="C377">
        <v>9.9360000000000004E-3</v>
      </c>
      <c r="D377">
        <v>6.0590000000000001E-3</v>
      </c>
      <c r="E377">
        <f t="shared" si="15"/>
        <v>6.7109999999999991E-3</v>
      </c>
      <c r="F377">
        <f t="shared" si="16"/>
        <v>0</v>
      </c>
      <c r="G377">
        <f t="shared" si="17"/>
        <v>4.5037520999999988E-5</v>
      </c>
    </row>
    <row r="378" spans="1:7" x14ac:dyDescent="0.35">
      <c r="A378" s="1">
        <v>1625000</v>
      </c>
      <c r="B378">
        <v>2.4190000000000001E-3</v>
      </c>
      <c r="C378">
        <v>5.2249999999999996E-3</v>
      </c>
      <c r="D378">
        <v>2.7039999999999998E-3</v>
      </c>
      <c r="E378">
        <f t="shared" si="15"/>
        <v>3.4493333333333333E-3</v>
      </c>
      <c r="F378">
        <f t="shared" si="16"/>
        <v>0</v>
      </c>
      <c r="G378">
        <f t="shared" si="17"/>
        <v>1.1897900444444444E-5</v>
      </c>
    </row>
    <row r="379" spans="1:7" x14ac:dyDescent="0.35">
      <c r="A379" s="1">
        <v>1678000</v>
      </c>
      <c r="B379">
        <v>1.5100000000000001E-3</v>
      </c>
      <c r="C379">
        <v>2.2850000000000001E-3</v>
      </c>
      <c r="D379">
        <v>1.1150000000000001E-3</v>
      </c>
      <c r="E379">
        <f t="shared" si="15"/>
        <v>1.6366666666666667E-3</v>
      </c>
      <c r="F379">
        <f t="shared" si="16"/>
        <v>0</v>
      </c>
      <c r="G379">
        <f t="shared" si="17"/>
        <v>2.6786777777777779E-6</v>
      </c>
    </row>
    <row r="380" spans="1:7" x14ac:dyDescent="0.35">
      <c r="A380" s="1">
        <v>1783000</v>
      </c>
      <c r="B380">
        <v>0</v>
      </c>
      <c r="C380">
        <v>0</v>
      </c>
      <c r="D380">
        <v>0</v>
      </c>
      <c r="E380">
        <f t="shared" si="15"/>
        <v>0</v>
      </c>
      <c r="F380">
        <f t="shared" si="16"/>
        <v>0</v>
      </c>
      <c r="G380">
        <f t="shared" si="17"/>
        <v>0</v>
      </c>
    </row>
    <row r="381" spans="1:7" x14ac:dyDescent="0.35">
      <c r="A381" s="1">
        <v>1887000</v>
      </c>
      <c r="B381">
        <v>0</v>
      </c>
      <c r="C381">
        <v>0</v>
      </c>
      <c r="D381">
        <v>0</v>
      </c>
      <c r="E381">
        <f t="shared" si="15"/>
        <v>0</v>
      </c>
      <c r="F381">
        <f t="shared" si="16"/>
        <v>0</v>
      </c>
      <c r="G381">
        <f t="shared" si="17"/>
        <v>0</v>
      </c>
    </row>
    <row r="382" spans="1:7" x14ac:dyDescent="0.35">
      <c r="A382" s="1">
        <v>1992000</v>
      </c>
      <c r="B382">
        <v>0</v>
      </c>
      <c r="C382">
        <v>0</v>
      </c>
      <c r="D382">
        <v>0</v>
      </c>
      <c r="E382">
        <f t="shared" si="15"/>
        <v>0</v>
      </c>
      <c r="F382">
        <f t="shared" si="16"/>
        <v>0</v>
      </c>
      <c r="G382">
        <f t="shared" si="17"/>
        <v>0</v>
      </c>
    </row>
    <row r="383" spans="1:7" x14ac:dyDescent="0.35">
      <c r="A383" s="1">
        <v>2097000</v>
      </c>
      <c r="B383">
        <v>0</v>
      </c>
      <c r="C383">
        <v>0</v>
      </c>
      <c r="D383">
        <v>0</v>
      </c>
      <c r="E383">
        <f t="shared" si="15"/>
        <v>0</v>
      </c>
      <c r="F383">
        <f t="shared" si="16"/>
        <v>0</v>
      </c>
      <c r="G383">
        <f t="shared" si="17"/>
        <v>0</v>
      </c>
    </row>
    <row r="384" spans="1:7" x14ac:dyDescent="0.35">
      <c r="A384" s="1">
        <v>2202000</v>
      </c>
      <c r="B384">
        <v>0</v>
      </c>
      <c r="C384">
        <v>0</v>
      </c>
      <c r="D384">
        <v>0</v>
      </c>
      <c r="E384">
        <f t="shared" si="15"/>
        <v>0</v>
      </c>
      <c r="F384">
        <f t="shared" si="16"/>
        <v>0</v>
      </c>
      <c r="G384">
        <f t="shared" si="17"/>
        <v>0</v>
      </c>
    </row>
    <row r="385" spans="1:7" x14ac:dyDescent="0.35">
      <c r="A385" s="1">
        <v>2307000</v>
      </c>
      <c r="B385">
        <v>0</v>
      </c>
      <c r="C385">
        <v>0</v>
      </c>
      <c r="D385">
        <v>0</v>
      </c>
      <c r="E385">
        <f t="shared" si="15"/>
        <v>0</v>
      </c>
      <c r="F385">
        <f t="shared" si="16"/>
        <v>0</v>
      </c>
      <c r="G385">
        <f t="shared" si="17"/>
        <v>0</v>
      </c>
    </row>
    <row r="386" spans="1:7" x14ac:dyDescent="0.35">
      <c r="A386" s="1">
        <v>2412000</v>
      </c>
      <c r="B386">
        <v>0</v>
      </c>
      <c r="C386">
        <v>0</v>
      </c>
      <c r="D386">
        <v>0</v>
      </c>
      <c r="E386">
        <f t="shared" si="15"/>
        <v>0</v>
      </c>
      <c r="F386">
        <f t="shared" si="16"/>
        <v>0</v>
      </c>
      <c r="G386">
        <f t="shared" si="17"/>
        <v>0</v>
      </c>
    </row>
    <row r="387" spans="1:7" x14ac:dyDescent="0.35">
      <c r="A387" s="1">
        <v>2517000</v>
      </c>
      <c r="B387">
        <v>0</v>
      </c>
      <c r="C387">
        <v>0</v>
      </c>
      <c r="D387">
        <v>0</v>
      </c>
      <c r="E387">
        <f t="shared" ref="E387:E450" si="18">AVERAGE(B387:D387)</f>
        <v>0</v>
      </c>
      <c r="F387">
        <f t="shared" ref="F387:F450" si="19">$J$2+$J$3*E387+$J$4*E387^2+$J$5*E387^3+$J$6*E387^4+$J$7*E387^5+$J$8*E387^6</f>
        <v>0</v>
      </c>
      <c r="G387">
        <f t="shared" ref="G387:G450" si="20">(E387-F387)^2</f>
        <v>0</v>
      </c>
    </row>
    <row r="388" spans="1:7" x14ac:dyDescent="0.35">
      <c r="A388" s="1">
        <v>2621000</v>
      </c>
      <c r="B388">
        <v>0</v>
      </c>
      <c r="C388">
        <v>0</v>
      </c>
      <c r="D388">
        <v>0</v>
      </c>
      <c r="E388">
        <f t="shared" si="18"/>
        <v>0</v>
      </c>
      <c r="F388">
        <f t="shared" si="19"/>
        <v>0</v>
      </c>
      <c r="G388">
        <f t="shared" si="20"/>
        <v>0</v>
      </c>
    </row>
    <row r="389" spans="1:7" x14ac:dyDescent="0.35">
      <c r="A389" s="1">
        <v>2726000</v>
      </c>
      <c r="B389">
        <v>0</v>
      </c>
      <c r="C389">
        <v>0</v>
      </c>
      <c r="D389">
        <v>0</v>
      </c>
      <c r="E389">
        <f t="shared" si="18"/>
        <v>0</v>
      </c>
      <c r="F389">
        <f t="shared" si="19"/>
        <v>0</v>
      </c>
      <c r="G389">
        <f t="shared" si="20"/>
        <v>0</v>
      </c>
    </row>
    <row r="390" spans="1:7" x14ac:dyDescent="0.35">
      <c r="A390" s="1">
        <v>2831000</v>
      </c>
      <c r="B390">
        <v>0</v>
      </c>
      <c r="C390">
        <v>0</v>
      </c>
      <c r="D390">
        <v>0</v>
      </c>
      <c r="E390">
        <f t="shared" si="18"/>
        <v>0</v>
      </c>
      <c r="F390">
        <f t="shared" si="19"/>
        <v>0</v>
      </c>
      <c r="G390">
        <f t="shared" si="20"/>
        <v>0</v>
      </c>
    </row>
    <row r="391" spans="1:7" x14ac:dyDescent="0.35">
      <c r="A391" s="1">
        <v>2936000</v>
      </c>
      <c r="B391">
        <v>0</v>
      </c>
      <c r="C391">
        <v>0</v>
      </c>
      <c r="D391">
        <v>0</v>
      </c>
      <c r="E391">
        <f t="shared" si="18"/>
        <v>0</v>
      </c>
      <c r="F391">
        <f t="shared" si="19"/>
        <v>0</v>
      </c>
      <c r="G391">
        <f t="shared" si="20"/>
        <v>0</v>
      </c>
    </row>
    <row r="392" spans="1:7" x14ac:dyDescent="0.35">
      <c r="A392" s="1">
        <v>3041000</v>
      </c>
      <c r="B392">
        <v>0</v>
      </c>
      <c r="C392">
        <v>0</v>
      </c>
      <c r="D392">
        <v>0</v>
      </c>
      <c r="E392">
        <f t="shared" si="18"/>
        <v>0</v>
      </c>
      <c r="F392">
        <f t="shared" si="19"/>
        <v>0</v>
      </c>
      <c r="G392">
        <f t="shared" si="20"/>
        <v>0</v>
      </c>
    </row>
    <row r="393" spans="1:7" x14ac:dyDescent="0.35">
      <c r="A393" s="1">
        <v>3146000</v>
      </c>
      <c r="B393">
        <v>0</v>
      </c>
      <c r="C393">
        <v>0</v>
      </c>
      <c r="D393">
        <v>0</v>
      </c>
      <c r="E393">
        <f t="shared" si="18"/>
        <v>0</v>
      </c>
      <c r="F393">
        <f t="shared" si="19"/>
        <v>0</v>
      </c>
      <c r="G393">
        <f t="shared" si="20"/>
        <v>0</v>
      </c>
    </row>
    <row r="394" spans="1:7" x14ac:dyDescent="0.35">
      <c r="A394" s="1">
        <v>3251000</v>
      </c>
      <c r="B394">
        <v>0</v>
      </c>
      <c r="C394">
        <v>0</v>
      </c>
      <c r="D394">
        <v>0</v>
      </c>
      <c r="E394">
        <f t="shared" si="18"/>
        <v>0</v>
      </c>
      <c r="F394">
        <f t="shared" si="19"/>
        <v>0</v>
      </c>
      <c r="G394">
        <f t="shared" si="20"/>
        <v>0</v>
      </c>
    </row>
    <row r="395" spans="1:7" x14ac:dyDescent="0.35">
      <c r="A395" s="1">
        <v>3355000</v>
      </c>
      <c r="B395">
        <v>0</v>
      </c>
      <c r="C395">
        <v>0</v>
      </c>
      <c r="D395">
        <v>0</v>
      </c>
      <c r="E395">
        <f t="shared" si="18"/>
        <v>0</v>
      </c>
      <c r="F395">
        <f t="shared" si="19"/>
        <v>0</v>
      </c>
      <c r="G395">
        <f t="shared" si="20"/>
        <v>0</v>
      </c>
    </row>
    <row r="396" spans="1:7" x14ac:dyDescent="0.35">
      <c r="A396" s="1">
        <v>3565000</v>
      </c>
      <c r="B396">
        <v>0</v>
      </c>
      <c r="C396">
        <v>0</v>
      </c>
      <c r="D396">
        <v>0</v>
      </c>
      <c r="E396">
        <f t="shared" si="18"/>
        <v>0</v>
      </c>
      <c r="F396">
        <f t="shared" si="19"/>
        <v>0</v>
      </c>
      <c r="G396">
        <f t="shared" si="20"/>
        <v>0</v>
      </c>
    </row>
    <row r="397" spans="1:7" x14ac:dyDescent="0.35">
      <c r="A397" s="1">
        <v>3775000</v>
      </c>
      <c r="B397">
        <v>0</v>
      </c>
      <c r="C397">
        <v>0</v>
      </c>
      <c r="D397">
        <v>0</v>
      </c>
      <c r="E397">
        <f t="shared" si="18"/>
        <v>0</v>
      </c>
      <c r="F397">
        <f t="shared" si="19"/>
        <v>0</v>
      </c>
      <c r="G397">
        <f t="shared" si="20"/>
        <v>0</v>
      </c>
    </row>
    <row r="398" spans="1:7" x14ac:dyDescent="0.35">
      <c r="A398" s="1">
        <v>3985000</v>
      </c>
      <c r="B398">
        <v>0</v>
      </c>
      <c r="C398">
        <v>0</v>
      </c>
      <c r="D398">
        <v>0</v>
      </c>
      <c r="E398">
        <f t="shared" si="18"/>
        <v>0</v>
      </c>
      <c r="F398">
        <f t="shared" si="19"/>
        <v>0</v>
      </c>
      <c r="G398">
        <f t="shared" si="20"/>
        <v>0</v>
      </c>
    </row>
    <row r="399" spans="1:7" x14ac:dyDescent="0.35">
      <c r="A399" s="1">
        <v>4194000</v>
      </c>
      <c r="B399">
        <v>0</v>
      </c>
      <c r="C399">
        <v>0</v>
      </c>
      <c r="D399">
        <v>0</v>
      </c>
      <c r="E399">
        <f t="shared" si="18"/>
        <v>0</v>
      </c>
      <c r="F399">
        <f t="shared" si="19"/>
        <v>0</v>
      </c>
      <c r="G399">
        <f t="shared" si="20"/>
        <v>0</v>
      </c>
    </row>
    <row r="400" spans="1:7" x14ac:dyDescent="0.35">
      <c r="A400" s="1">
        <v>4404000</v>
      </c>
      <c r="B400">
        <v>0</v>
      </c>
      <c r="C400">
        <v>0</v>
      </c>
      <c r="D400">
        <v>0</v>
      </c>
      <c r="E400">
        <f t="shared" si="18"/>
        <v>0</v>
      </c>
      <c r="F400">
        <f t="shared" si="19"/>
        <v>0</v>
      </c>
      <c r="G400">
        <f t="shared" si="20"/>
        <v>0</v>
      </c>
    </row>
    <row r="401" spans="1:7" x14ac:dyDescent="0.35">
      <c r="A401" s="1">
        <v>4614000</v>
      </c>
      <c r="B401">
        <v>0</v>
      </c>
      <c r="C401">
        <v>0</v>
      </c>
      <c r="D401">
        <v>0</v>
      </c>
      <c r="E401">
        <f t="shared" si="18"/>
        <v>0</v>
      </c>
      <c r="F401">
        <f t="shared" si="19"/>
        <v>0</v>
      </c>
      <c r="G401">
        <f t="shared" si="20"/>
        <v>0</v>
      </c>
    </row>
    <row r="402" spans="1:7" x14ac:dyDescent="0.35">
      <c r="A402" s="1">
        <v>4823000</v>
      </c>
      <c r="B402">
        <v>0</v>
      </c>
      <c r="C402">
        <v>0</v>
      </c>
      <c r="D402">
        <v>0</v>
      </c>
      <c r="E402">
        <f t="shared" si="18"/>
        <v>0</v>
      </c>
      <c r="F402">
        <f t="shared" si="19"/>
        <v>0</v>
      </c>
      <c r="G402">
        <f t="shared" si="20"/>
        <v>0</v>
      </c>
    </row>
    <row r="403" spans="1:7" x14ac:dyDescent="0.35">
      <c r="A403" s="1">
        <v>5033000</v>
      </c>
      <c r="B403">
        <v>0</v>
      </c>
      <c r="C403">
        <v>0</v>
      </c>
      <c r="D403">
        <v>0</v>
      </c>
      <c r="E403">
        <f t="shared" si="18"/>
        <v>0</v>
      </c>
      <c r="F403">
        <f t="shared" si="19"/>
        <v>0</v>
      </c>
      <c r="G403">
        <f t="shared" si="20"/>
        <v>0</v>
      </c>
    </row>
    <row r="404" spans="1:7" x14ac:dyDescent="0.35">
      <c r="A404" s="1">
        <v>5243000</v>
      </c>
      <c r="B404">
        <v>0</v>
      </c>
      <c r="C404">
        <v>0</v>
      </c>
      <c r="D404">
        <v>0</v>
      </c>
      <c r="E404">
        <f t="shared" si="18"/>
        <v>0</v>
      </c>
      <c r="F404">
        <f t="shared" si="19"/>
        <v>0</v>
      </c>
      <c r="G404">
        <f t="shared" si="20"/>
        <v>0</v>
      </c>
    </row>
    <row r="405" spans="1:7" x14ac:dyDescent="0.35">
      <c r="A405" s="1">
        <v>5453000</v>
      </c>
      <c r="B405">
        <v>0</v>
      </c>
      <c r="C405">
        <v>0</v>
      </c>
      <c r="D405">
        <v>0</v>
      </c>
      <c r="E405">
        <f t="shared" si="18"/>
        <v>0</v>
      </c>
      <c r="F405">
        <f t="shared" si="19"/>
        <v>0</v>
      </c>
      <c r="G405">
        <f t="shared" si="20"/>
        <v>0</v>
      </c>
    </row>
    <row r="406" spans="1:7" x14ac:dyDescent="0.35">
      <c r="A406" s="1">
        <v>5662000</v>
      </c>
      <c r="B406">
        <v>0</v>
      </c>
      <c r="C406">
        <v>0</v>
      </c>
      <c r="D406">
        <v>0</v>
      </c>
      <c r="E406">
        <f t="shared" si="18"/>
        <v>0</v>
      </c>
      <c r="F406">
        <f t="shared" si="19"/>
        <v>0</v>
      </c>
      <c r="G406">
        <f t="shared" si="20"/>
        <v>0</v>
      </c>
    </row>
    <row r="407" spans="1:7" x14ac:dyDescent="0.35">
      <c r="A407" s="1">
        <v>5872000</v>
      </c>
      <c r="B407">
        <v>0</v>
      </c>
      <c r="C407">
        <v>0</v>
      </c>
      <c r="D407">
        <v>0</v>
      </c>
      <c r="E407">
        <f t="shared" si="18"/>
        <v>0</v>
      </c>
      <c r="F407">
        <f t="shared" si="19"/>
        <v>0</v>
      </c>
      <c r="G407">
        <f t="shared" si="20"/>
        <v>0</v>
      </c>
    </row>
    <row r="408" spans="1:7" x14ac:dyDescent="0.35">
      <c r="A408" s="1">
        <v>6082000</v>
      </c>
      <c r="B408">
        <v>0</v>
      </c>
      <c r="C408">
        <v>0</v>
      </c>
      <c r="D408">
        <v>0</v>
      </c>
      <c r="E408">
        <f t="shared" si="18"/>
        <v>0</v>
      </c>
      <c r="F408">
        <f t="shared" si="19"/>
        <v>0</v>
      </c>
      <c r="G408">
        <f t="shared" si="20"/>
        <v>0</v>
      </c>
    </row>
    <row r="409" spans="1:7" x14ac:dyDescent="0.35">
      <c r="A409" s="1">
        <v>6291000</v>
      </c>
      <c r="B409">
        <v>0</v>
      </c>
      <c r="C409">
        <v>0</v>
      </c>
      <c r="D409">
        <v>0</v>
      </c>
      <c r="E409">
        <f t="shared" si="18"/>
        <v>0</v>
      </c>
      <c r="F409">
        <f t="shared" si="19"/>
        <v>0</v>
      </c>
      <c r="G409">
        <f t="shared" si="20"/>
        <v>0</v>
      </c>
    </row>
    <row r="410" spans="1:7" x14ac:dyDescent="0.35">
      <c r="A410" s="1">
        <v>6501000</v>
      </c>
      <c r="B410">
        <v>0</v>
      </c>
      <c r="C410">
        <v>0</v>
      </c>
      <c r="D410">
        <v>0</v>
      </c>
      <c r="E410">
        <f t="shared" si="18"/>
        <v>0</v>
      </c>
      <c r="F410">
        <f t="shared" si="19"/>
        <v>0</v>
      </c>
      <c r="G410">
        <f t="shared" si="20"/>
        <v>0</v>
      </c>
    </row>
    <row r="411" spans="1:7" x14ac:dyDescent="0.35">
      <c r="A411" s="1">
        <v>6711000</v>
      </c>
      <c r="B411">
        <v>0</v>
      </c>
      <c r="C411">
        <v>0</v>
      </c>
      <c r="D411">
        <v>0</v>
      </c>
      <c r="E411">
        <f t="shared" si="18"/>
        <v>0</v>
      </c>
      <c r="F411">
        <f t="shared" si="19"/>
        <v>0</v>
      </c>
      <c r="G411">
        <f t="shared" si="20"/>
        <v>0</v>
      </c>
    </row>
    <row r="412" spans="1:7" x14ac:dyDescent="0.35">
      <c r="A412" s="1">
        <v>7130000</v>
      </c>
      <c r="B412">
        <v>0</v>
      </c>
      <c r="C412">
        <v>0</v>
      </c>
      <c r="D412">
        <v>0</v>
      </c>
      <c r="E412">
        <f t="shared" si="18"/>
        <v>0</v>
      </c>
      <c r="F412">
        <f t="shared" si="19"/>
        <v>0</v>
      </c>
      <c r="G412">
        <f t="shared" si="20"/>
        <v>0</v>
      </c>
    </row>
    <row r="413" spans="1:7" x14ac:dyDescent="0.35">
      <c r="A413" s="1">
        <v>7550000</v>
      </c>
      <c r="B413">
        <v>0</v>
      </c>
      <c r="C413">
        <v>0</v>
      </c>
      <c r="D413">
        <v>0</v>
      </c>
      <c r="E413">
        <f t="shared" si="18"/>
        <v>0</v>
      </c>
      <c r="F413">
        <f t="shared" si="19"/>
        <v>0</v>
      </c>
      <c r="G413">
        <f t="shared" si="20"/>
        <v>0</v>
      </c>
    </row>
    <row r="414" spans="1:7" x14ac:dyDescent="0.35">
      <c r="A414" s="1">
        <v>7969000</v>
      </c>
      <c r="B414">
        <v>0</v>
      </c>
      <c r="C414">
        <v>0</v>
      </c>
      <c r="D414">
        <v>0</v>
      </c>
      <c r="E414">
        <f t="shared" si="18"/>
        <v>0</v>
      </c>
      <c r="F414">
        <f t="shared" si="19"/>
        <v>0</v>
      </c>
      <c r="G414">
        <f t="shared" si="20"/>
        <v>0</v>
      </c>
    </row>
    <row r="415" spans="1:7" x14ac:dyDescent="0.35">
      <c r="A415" s="1">
        <v>8389000</v>
      </c>
      <c r="B415">
        <v>0</v>
      </c>
      <c r="C415">
        <v>0</v>
      </c>
      <c r="D415">
        <v>0</v>
      </c>
      <c r="E415">
        <f t="shared" si="18"/>
        <v>0</v>
      </c>
      <c r="F415">
        <f t="shared" si="19"/>
        <v>0</v>
      </c>
      <c r="G415">
        <f t="shared" si="20"/>
        <v>0</v>
      </c>
    </row>
    <row r="416" spans="1:7" x14ac:dyDescent="0.35">
      <c r="A416" s="1">
        <v>8808000</v>
      </c>
      <c r="B416">
        <v>0</v>
      </c>
      <c r="C416">
        <v>0</v>
      </c>
      <c r="D416">
        <v>0</v>
      </c>
      <c r="E416">
        <f t="shared" si="18"/>
        <v>0</v>
      </c>
      <c r="F416">
        <f t="shared" si="19"/>
        <v>0</v>
      </c>
      <c r="G416">
        <f t="shared" si="20"/>
        <v>0</v>
      </c>
    </row>
    <row r="417" spans="1:7" x14ac:dyDescent="0.35">
      <c r="A417" s="1">
        <v>9227000</v>
      </c>
      <c r="B417">
        <v>0</v>
      </c>
      <c r="C417">
        <v>0</v>
      </c>
      <c r="D417">
        <v>0</v>
      </c>
      <c r="E417">
        <f t="shared" si="18"/>
        <v>0</v>
      </c>
      <c r="F417">
        <f t="shared" si="19"/>
        <v>0</v>
      </c>
      <c r="G417">
        <f t="shared" si="20"/>
        <v>0</v>
      </c>
    </row>
    <row r="418" spans="1:7" x14ac:dyDescent="0.35">
      <c r="A418" s="1">
        <v>9647000</v>
      </c>
      <c r="B418">
        <v>0</v>
      </c>
      <c r="C418">
        <v>0</v>
      </c>
      <c r="D418">
        <v>0</v>
      </c>
      <c r="E418">
        <f t="shared" si="18"/>
        <v>0</v>
      </c>
      <c r="F418">
        <f t="shared" si="19"/>
        <v>0</v>
      </c>
      <c r="G418">
        <f t="shared" si="20"/>
        <v>0</v>
      </c>
    </row>
    <row r="419" spans="1:7" x14ac:dyDescent="0.35">
      <c r="A419" s="1">
        <v>10070000</v>
      </c>
      <c r="B419">
        <v>0</v>
      </c>
      <c r="C419">
        <v>0</v>
      </c>
      <c r="D419">
        <v>0</v>
      </c>
      <c r="E419">
        <f t="shared" si="18"/>
        <v>0</v>
      </c>
      <c r="F419">
        <f t="shared" si="19"/>
        <v>0</v>
      </c>
      <c r="G419">
        <f t="shared" si="20"/>
        <v>0</v>
      </c>
    </row>
    <row r="420" spans="1:7" x14ac:dyDescent="0.35">
      <c r="A420" s="1">
        <v>10490000</v>
      </c>
      <c r="B420">
        <v>0</v>
      </c>
      <c r="C420">
        <v>0</v>
      </c>
      <c r="D420">
        <v>0</v>
      </c>
      <c r="E420">
        <f t="shared" si="18"/>
        <v>0</v>
      </c>
      <c r="F420">
        <f t="shared" si="19"/>
        <v>0</v>
      </c>
      <c r="G420">
        <f t="shared" si="20"/>
        <v>0</v>
      </c>
    </row>
    <row r="421" spans="1:7" x14ac:dyDescent="0.35">
      <c r="A421" s="1">
        <v>10910000</v>
      </c>
      <c r="B421">
        <v>0</v>
      </c>
      <c r="C421">
        <v>0</v>
      </c>
      <c r="D421">
        <v>0</v>
      </c>
      <c r="E421">
        <f t="shared" si="18"/>
        <v>0</v>
      </c>
      <c r="F421">
        <f t="shared" si="19"/>
        <v>0</v>
      </c>
      <c r="G421">
        <f t="shared" si="20"/>
        <v>0</v>
      </c>
    </row>
    <row r="422" spans="1:7" x14ac:dyDescent="0.35">
      <c r="A422" s="1">
        <v>11320000</v>
      </c>
      <c r="B422">
        <v>0</v>
      </c>
      <c r="C422">
        <v>0</v>
      </c>
      <c r="D422">
        <v>0</v>
      </c>
      <c r="E422">
        <f t="shared" si="18"/>
        <v>0</v>
      </c>
      <c r="F422">
        <f t="shared" si="19"/>
        <v>0</v>
      </c>
      <c r="G422">
        <f t="shared" si="20"/>
        <v>0</v>
      </c>
    </row>
    <row r="423" spans="1:7" x14ac:dyDescent="0.35">
      <c r="A423" s="1">
        <v>11740000</v>
      </c>
      <c r="B423">
        <v>0</v>
      </c>
      <c r="C423">
        <v>0</v>
      </c>
      <c r="D423">
        <v>0</v>
      </c>
      <c r="E423">
        <f t="shared" si="18"/>
        <v>0</v>
      </c>
      <c r="F423">
        <f t="shared" si="19"/>
        <v>0</v>
      </c>
      <c r="G423">
        <f t="shared" si="20"/>
        <v>0</v>
      </c>
    </row>
    <row r="424" spans="1:7" x14ac:dyDescent="0.35">
      <c r="A424" s="1">
        <v>12160000</v>
      </c>
      <c r="B424">
        <v>0</v>
      </c>
      <c r="C424">
        <v>0</v>
      </c>
      <c r="D424">
        <v>0</v>
      </c>
      <c r="E424">
        <f t="shared" si="18"/>
        <v>0</v>
      </c>
      <c r="F424">
        <f t="shared" si="19"/>
        <v>0</v>
      </c>
      <c r="G424">
        <f t="shared" si="20"/>
        <v>0</v>
      </c>
    </row>
    <row r="425" spans="1:7" x14ac:dyDescent="0.35">
      <c r="A425" s="1">
        <v>12580000</v>
      </c>
      <c r="B425">
        <v>0</v>
      </c>
      <c r="C425">
        <v>0</v>
      </c>
      <c r="D425">
        <v>0</v>
      </c>
      <c r="E425">
        <f t="shared" si="18"/>
        <v>0</v>
      </c>
      <c r="F425">
        <f t="shared" si="19"/>
        <v>0</v>
      </c>
      <c r="G425">
        <f t="shared" si="20"/>
        <v>0</v>
      </c>
    </row>
    <row r="426" spans="1:7" x14ac:dyDescent="0.35">
      <c r="A426" s="1">
        <v>13000000</v>
      </c>
      <c r="B426">
        <v>0</v>
      </c>
      <c r="C426">
        <v>0</v>
      </c>
      <c r="D426">
        <v>0</v>
      </c>
      <c r="E426">
        <f t="shared" si="18"/>
        <v>0</v>
      </c>
      <c r="F426">
        <f t="shared" si="19"/>
        <v>0</v>
      </c>
      <c r="G426">
        <f t="shared" si="20"/>
        <v>0</v>
      </c>
    </row>
    <row r="427" spans="1:7" x14ac:dyDescent="0.35">
      <c r="A427" s="1">
        <v>13420000</v>
      </c>
      <c r="B427">
        <v>0</v>
      </c>
      <c r="C427">
        <v>0</v>
      </c>
      <c r="D427">
        <v>0</v>
      </c>
      <c r="E427">
        <f t="shared" si="18"/>
        <v>0</v>
      </c>
      <c r="F427">
        <f t="shared" si="19"/>
        <v>0</v>
      </c>
      <c r="G427">
        <f t="shared" si="20"/>
        <v>0</v>
      </c>
    </row>
    <row r="428" spans="1:7" x14ac:dyDescent="0.35">
      <c r="A428" s="1">
        <v>14260000</v>
      </c>
      <c r="B428">
        <v>0</v>
      </c>
      <c r="C428">
        <v>0</v>
      </c>
      <c r="D428">
        <v>0</v>
      </c>
      <c r="E428">
        <f t="shared" si="18"/>
        <v>0</v>
      </c>
      <c r="F428">
        <f t="shared" si="19"/>
        <v>0</v>
      </c>
      <c r="G428">
        <f t="shared" si="20"/>
        <v>0</v>
      </c>
    </row>
    <row r="429" spans="1:7" x14ac:dyDescent="0.35">
      <c r="A429" s="1">
        <v>15100000</v>
      </c>
      <c r="B429">
        <v>0</v>
      </c>
      <c r="C429">
        <v>0</v>
      </c>
      <c r="D429">
        <v>0</v>
      </c>
      <c r="E429">
        <f t="shared" si="18"/>
        <v>0</v>
      </c>
      <c r="F429">
        <f t="shared" si="19"/>
        <v>0</v>
      </c>
      <c r="G429">
        <f t="shared" si="20"/>
        <v>0</v>
      </c>
    </row>
    <row r="430" spans="1:7" x14ac:dyDescent="0.35">
      <c r="A430" s="1">
        <v>15940000</v>
      </c>
      <c r="B430">
        <v>0</v>
      </c>
      <c r="C430">
        <v>0</v>
      </c>
      <c r="D430">
        <v>0</v>
      </c>
      <c r="E430">
        <f t="shared" si="18"/>
        <v>0</v>
      </c>
      <c r="F430">
        <f t="shared" si="19"/>
        <v>0</v>
      </c>
      <c r="G430">
        <f t="shared" si="20"/>
        <v>0</v>
      </c>
    </row>
    <row r="431" spans="1:7" x14ac:dyDescent="0.35">
      <c r="A431" s="1">
        <v>16780000</v>
      </c>
      <c r="B431">
        <v>0</v>
      </c>
      <c r="C431">
        <v>0</v>
      </c>
      <c r="D431">
        <v>0</v>
      </c>
      <c r="E431">
        <f t="shared" si="18"/>
        <v>0</v>
      </c>
      <c r="F431">
        <f t="shared" si="19"/>
        <v>0</v>
      </c>
      <c r="G431">
        <f t="shared" si="20"/>
        <v>0</v>
      </c>
    </row>
    <row r="432" spans="1:7" x14ac:dyDescent="0.35">
      <c r="A432" s="1">
        <v>17620000</v>
      </c>
      <c r="B432">
        <v>0</v>
      </c>
      <c r="C432">
        <v>0</v>
      </c>
      <c r="D432">
        <v>0</v>
      </c>
      <c r="E432">
        <f t="shared" si="18"/>
        <v>0</v>
      </c>
      <c r="F432">
        <f t="shared" si="19"/>
        <v>0</v>
      </c>
      <c r="G432">
        <f t="shared" si="20"/>
        <v>0</v>
      </c>
    </row>
    <row r="433" spans="1:7" x14ac:dyDescent="0.35">
      <c r="A433" s="1">
        <v>18450000</v>
      </c>
      <c r="B433">
        <v>0</v>
      </c>
      <c r="C433">
        <v>0</v>
      </c>
      <c r="D433">
        <v>0</v>
      </c>
      <c r="E433">
        <f t="shared" si="18"/>
        <v>0</v>
      </c>
      <c r="F433">
        <f t="shared" si="19"/>
        <v>0</v>
      </c>
      <c r="G433">
        <f t="shared" si="20"/>
        <v>0</v>
      </c>
    </row>
    <row r="434" spans="1:7" x14ac:dyDescent="0.35">
      <c r="A434" s="1">
        <v>19290000</v>
      </c>
      <c r="B434">
        <v>0</v>
      </c>
      <c r="C434">
        <v>0</v>
      </c>
      <c r="D434">
        <v>0</v>
      </c>
      <c r="E434">
        <f t="shared" si="18"/>
        <v>0</v>
      </c>
      <c r="F434">
        <f t="shared" si="19"/>
        <v>0</v>
      </c>
      <c r="G434">
        <f t="shared" si="20"/>
        <v>0</v>
      </c>
    </row>
    <row r="435" spans="1:7" x14ac:dyDescent="0.35">
      <c r="A435" s="1">
        <v>20130000</v>
      </c>
      <c r="B435">
        <v>0</v>
      </c>
      <c r="C435">
        <v>0</v>
      </c>
      <c r="D435">
        <v>0</v>
      </c>
      <c r="E435">
        <f t="shared" si="18"/>
        <v>0</v>
      </c>
      <c r="F435">
        <f t="shared" si="19"/>
        <v>0</v>
      </c>
      <c r="G435">
        <f t="shared" si="20"/>
        <v>0</v>
      </c>
    </row>
    <row r="436" spans="1:7" x14ac:dyDescent="0.35">
      <c r="A436" s="1">
        <v>20970000</v>
      </c>
      <c r="B436">
        <v>0</v>
      </c>
      <c r="C436">
        <v>0</v>
      </c>
      <c r="D436">
        <v>0</v>
      </c>
      <c r="E436">
        <f t="shared" si="18"/>
        <v>0</v>
      </c>
      <c r="F436">
        <f t="shared" si="19"/>
        <v>0</v>
      </c>
      <c r="G436">
        <f t="shared" si="20"/>
        <v>0</v>
      </c>
    </row>
    <row r="437" spans="1:7" x14ac:dyDescent="0.35">
      <c r="A437" s="1">
        <v>21810000</v>
      </c>
      <c r="B437">
        <v>0</v>
      </c>
      <c r="C437">
        <v>0</v>
      </c>
      <c r="D437">
        <v>0</v>
      </c>
      <c r="E437">
        <f t="shared" si="18"/>
        <v>0</v>
      </c>
      <c r="F437">
        <f t="shared" si="19"/>
        <v>0</v>
      </c>
      <c r="G437">
        <f t="shared" si="20"/>
        <v>0</v>
      </c>
    </row>
    <row r="438" spans="1:7" x14ac:dyDescent="0.35">
      <c r="A438" s="1">
        <v>22650000</v>
      </c>
      <c r="B438">
        <v>0</v>
      </c>
      <c r="C438">
        <v>0</v>
      </c>
      <c r="D438">
        <v>0</v>
      </c>
      <c r="E438">
        <f t="shared" si="18"/>
        <v>0</v>
      </c>
      <c r="F438">
        <f t="shared" si="19"/>
        <v>0</v>
      </c>
      <c r="G438">
        <f t="shared" si="20"/>
        <v>0</v>
      </c>
    </row>
    <row r="439" spans="1:7" x14ac:dyDescent="0.35">
      <c r="A439" s="1">
        <v>23490000</v>
      </c>
      <c r="B439">
        <v>0</v>
      </c>
      <c r="C439">
        <v>0</v>
      </c>
      <c r="D439">
        <v>0</v>
      </c>
      <c r="E439">
        <f t="shared" si="18"/>
        <v>0</v>
      </c>
      <c r="F439">
        <f t="shared" si="19"/>
        <v>0</v>
      </c>
      <c r="G439">
        <f t="shared" si="20"/>
        <v>0</v>
      </c>
    </row>
    <row r="440" spans="1:7" x14ac:dyDescent="0.35">
      <c r="A440" s="1">
        <v>24330000</v>
      </c>
      <c r="B440">
        <v>0</v>
      </c>
      <c r="C440">
        <v>0</v>
      </c>
      <c r="D440">
        <v>0</v>
      </c>
      <c r="E440">
        <f t="shared" si="18"/>
        <v>0</v>
      </c>
      <c r="F440">
        <f t="shared" si="19"/>
        <v>0</v>
      </c>
      <c r="G440">
        <f t="shared" si="20"/>
        <v>0</v>
      </c>
    </row>
    <row r="441" spans="1:7" x14ac:dyDescent="0.35">
      <c r="A441" s="1">
        <v>25170000</v>
      </c>
      <c r="B441">
        <v>0</v>
      </c>
      <c r="C441">
        <v>0</v>
      </c>
      <c r="D441">
        <v>0</v>
      </c>
      <c r="E441">
        <f t="shared" si="18"/>
        <v>0</v>
      </c>
      <c r="F441">
        <f t="shared" si="19"/>
        <v>0</v>
      </c>
      <c r="G441">
        <f t="shared" si="20"/>
        <v>0</v>
      </c>
    </row>
    <row r="442" spans="1:7" x14ac:dyDescent="0.35">
      <c r="A442" s="1">
        <v>26000000</v>
      </c>
      <c r="B442">
        <v>0</v>
      </c>
      <c r="C442">
        <v>0</v>
      </c>
      <c r="D442">
        <v>0</v>
      </c>
      <c r="E442">
        <f t="shared" si="18"/>
        <v>0</v>
      </c>
      <c r="F442">
        <f t="shared" si="19"/>
        <v>0</v>
      </c>
      <c r="G442">
        <f t="shared" si="20"/>
        <v>0</v>
      </c>
    </row>
    <row r="443" spans="1:7" x14ac:dyDescent="0.35">
      <c r="A443" s="1">
        <v>26840000</v>
      </c>
      <c r="B443">
        <v>0</v>
      </c>
      <c r="C443">
        <v>0</v>
      </c>
      <c r="D443">
        <v>0</v>
      </c>
      <c r="E443">
        <f t="shared" si="18"/>
        <v>0</v>
      </c>
      <c r="F443">
        <f t="shared" si="19"/>
        <v>0</v>
      </c>
      <c r="G443">
        <f t="shared" si="20"/>
        <v>0</v>
      </c>
    </row>
    <row r="444" spans="1:7" x14ac:dyDescent="0.35">
      <c r="A444" s="1">
        <v>28520000</v>
      </c>
      <c r="B444">
        <v>0</v>
      </c>
      <c r="C444">
        <v>0</v>
      </c>
      <c r="D444">
        <v>0</v>
      </c>
      <c r="E444">
        <f t="shared" si="18"/>
        <v>0</v>
      </c>
      <c r="F444">
        <f t="shared" si="19"/>
        <v>0</v>
      </c>
      <c r="G444">
        <f t="shared" si="20"/>
        <v>0</v>
      </c>
    </row>
    <row r="445" spans="1:7" x14ac:dyDescent="0.35">
      <c r="A445" s="1">
        <v>30200000</v>
      </c>
      <c r="B445">
        <v>0</v>
      </c>
      <c r="C445">
        <v>0</v>
      </c>
      <c r="D445">
        <v>0</v>
      </c>
      <c r="E445">
        <f t="shared" si="18"/>
        <v>0</v>
      </c>
      <c r="F445">
        <f t="shared" si="19"/>
        <v>0</v>
      </c>
      <c r="G445">
        <f t="shared" si="20"/>
        <v>0</v>
      </c>
    </row>
    <row r="446" spans="1:7" x14ac:dyDescent="0.35">
      <c r="A446" s="1">
        <v>31880000</v>
      </c>
      <c r="B446">
        <v>0</v>
      </c>
      <c r="C446">
        <v>0</v>
      </c>
      <c r="D446">
        <v>0</v>
      </c>
      <c r="E446">
        <f t="shared" si="18"/>
        <v>0</v>
      </c>
      <c r="F446">
        <f t="shared" si="19"/>
        <v>0</v>
      </c>
      <c r="G446">
        <f t="shared" si="20"/>
        <v>0</v>
      </c>
    </row>
    <row r="447" spans="1:7" x14ac:dyDescent="0.35">
      <c r="A447" s="1">
        <v>33550000</v>
      </c>
      <c r="B447">
        <v>0</v>
      </c>
      <c r="C447">
        <v>0</v>
      </c>
      <c r="D447">
        <v>0</v>
      </c>
      <c r="E447">
        <f t="shared" si="18"/>
        <v>0</v>
      </c>
      <c r="F447">
        <f t="shared" si="19"/>
        <v>0</v>
      </c>
      <c r="G447">
        <f t="shared" si="20"/>
        <v>0</v>
      </c>
    </row>
    <row r="448" spans="1:7" x14ac:dyDescent="0.35">
      <c r="A448" s="1">
        <v>35230000</v>
      </c>
      <c r="B448">
        <v>0</v>
      </c>
      <c r="C448">
        <v>0</v>
      </c>
      <c r="D448">
        <v>0</v>
      </c>
      <c r="E448">
        <f t="shared" si="18"/>
        <v>0</v>
      </c>
      <c r="F448">
        <f t="shared" si="19"/>
        <v>0</v>
      </c>
      <c r="G448">
        <f t="shared" si="20"/>
        <v>0</v>
      </c>
    </row>
    <row r="449" spans="1:7" x14ac:dyDescent="0.35">
      <c r="A449" s="1">
        <v>36910000</v>
      </c>
      <c r="B449">
        <v>0</v>
      </c>
      <c r="C449">
        <v>0</v>
      </c>
      <c r="D449">
        <v>0</v>
      </c>
      <c r="E449">
        <f t="shared" si="18"/>
        <v>0</v>
      </c>
      <c r="F449">
        <f t="shared" si="19"/>
        <v>0</v>
      </c>
      <c r="G449">
        <f t="shared" si="20"/>
        <v>0</v>
      </c>
    </row>
    <row r="450" spans="1:7" x14ac:dyDescent="0.35">
      <c r="A450" s="1">
        <v>38590000</v>
      </c>
      <c r="B450">
        <v>0</v>
      </c>
      <c r="C450">
        <v>0</v>
      </c>
      <c r="D450">
        <v>0</v>
      </c>
      <c r="E450">
        <f t="shared" si="18"/>
        <v>0</v>
      </c>
      <c r="F450">
        <f t="shared" si="19"/>
        <v>0</v>
      </c>
      <c r="G450">
        <f t="shared" si="20"/>
        <v>0</v>
      </c>
    </row>
    <row r="451" spans="1:7" x14ac:dyDescent="0.35">
      <c r="A451" s="1">
        <v>40270000</v>
      </c>
      <c r="B451">
        <v>0</v>
      </c>
      <c r="C451">
        <v>0</v>
      </c>
      <c r="D451">
        <v>0</v>
      </c>
      <c r="E451">
        <f t="shared" ref="E451:E491" si="21">AVERAGE(B451:D451)</f>
        <v>0</v>
      </c>
      <c r="F451">
        <f t="shared" ref="F451:F491" si="22">$J$2+$J$3*E451+$J$4*E451^2+$J$5*E451^3+$J$6*E451^4+$J$7*E451^5+$J$8*E451^6</f>
        <v>0</v>
      </c>
      <c r="G451">
        <f t="shared" ref="G451:G491" si="23">(E451-F451)^2</f>
        <v>0</v>
      </c>
    </row>
    <row r="452" spans="1:7" x14ac:dyDescent="0.35">
      <c r="A452" s="1">
        <v>41940000</v>
      </c>
      <c r="B452">
        <v>0</v>
      </c>
      <c r="C452">
        <v>0</v>
      </c>
      <c r="D452">
        <v>0</v>
      </c>
      <c r="E452">
        <f t="shared" si="21"/>
        <v>0</v>
      </c>
      <c r="F452">
        <f t="shared" si="22"/>
        <v>0</v>
      </c>
      <c r="G452">
        <f t="shared" si="23"/>
        <v>0</v>
      </c>
    </row>
    <row r="453" spans="1:7" x14ac:dyDescent="0.35">
      <c r="A453" s="1">
        <v>43620000</v>
      </c>
      <c r="B453">
        <v>0</v>
      </c>
      <c r="C453">
        <v>0</v>
      </c>
      <c r="D453">
        <v>0</v>
      </c>
      <c r="E453">
        <f t="shared" si="21"/>
        <v>0</v>
      </c>
      <c r="F453">
        <f t="shared" si="22"/>
        <v>0</v>
      </c>
      <c r="G453">
        <f t="shared" si="23"/>
        <v>0</v>
      </c>
    </row>
    <row r="454" spans="1:7" x14ac:dyDescent="0.35">
      <c r="A454" s="1">
        <v>45300000</v>
      </c>
      <c r="B454">
        <v>0</v>
      </c>
      <c r="C454">
        <v>0</v>
      </c>
      <c r="D454">
        <v>0</v>
      </c>
      <c r="E454">
        <f t="shared" si="21"/>
        <v>0</v>
      </c>
      <c r="F454">
        <f t="shared" si="22"/>
        <v>0</v>
      </c>
      <c r="G454">
        <f t="shared" si="23"/>
        <v>0</v>
      </c>
    </row>
    <row r="455" spans="1:7" x14ac:dyDescent="0.35">
      <c r="A455" s="1">
        <v>46980000</v>
      </c>
      <c r="B455">
        <v>0</v>
      </c>
      <c r="C455">
        <v>0</v>
      </c>
      <c r="D455">
        <v>0</v>
      </c>
      <c r="E455">
        <f t="shared" si="21"/>
        <v>0</v>
      </c>
      <c r="F455">
        <f t="shared" si="22"/>
        <v>0</v>
      </c>
      <c r="G455">
        <f t="shared" si="23"/>
        <v>0</v>
      </c>
    </row>
    <row r="456" spans="1:7" x14ac:dyDescent="0.35">
      <c r="A456" s="1">
        <v>48650000</v>
      </c>
      <c r="B456">
        <v>0</v>
      </c>
      <c r="C456">
        <v>0</v>
      </c>
      <c r="D456">
        <v>0</v>
      </c>
      <c r="E456">
        <f t="shared" si="21"/>
        <v>0</v>
      </c>
      <c r="F456">
        <f t="shared" si="22"/>
        <v>0</v>
      </c>
      <c r="G456">
        <f t="shared" si="23"/>
        <v>0</v>
      </c>
    </row>
    <row r="457" spans="1:7" x14ac:dyDescent="0.35">
      <c r="A457" s="1">
        <v>50330000</v>
      </c>
      <c r="B457">
        <v>0</v>
      </c>
      <c r="C457">
        <v>0</v>
      </c>
      <c r="D457">
        <v>0</v>
      </c>
      <c r="E457">
        <f t="shared" si="21"/>
        <v>0</v>
      </c>
      <c r="F457">
        <f t="shared" si="22"/>
        <v>0</v>
      </c>
      <c r="G457">
        <f t="shared" si="23"/>
        <v>0</v>
      </c>
    </row>
    <row r="458" spans="1:7" x14ac:dyDescent="0.35">
      <c r="A458" s="1">
        <v>52010000</v>
      </c>
      <c r="B458">
        <v>0</v>
      </c>
      <c r="C458">
        <v>0</v>
      </c>
      <c r="D458">
        <v>0</v>
      </c>
      <c r="E458">
        <f t="shared" si="21"/>
        <v>0</v>
      </c>
      <c r="F458">
        <f t="shared" si="22"/>
        <v>0</v>
      </c>
      <c r="G458">
        <f t="shared" si="23"/>
        <v>0</v>
      </c>
    </row>
    <row r="459" spans="1:7" x14ac:dyDescent="0.35">
      <c r="A459" s="1">
        <v>53690000</v>
      </c>
      <c r="B459">
        <v>0</v>
      </c>
      <c r="C459">
        <v>0</v>
      </c>
      <c r="D459">
        <v>0</v>
      </c>
      <c r="E459">
        <f t="shared" si="21"/>
        <v>0</v>
      </c>
      <c r="F459">
        <f t="shared" si="22"/>
        <v>0</v>
      </c>
      <c r="G459">
        <f t="shared" si="23"/>
        <v>0</v>
      </c>
    </row>
    <row r="460" spans="1:7" x14ac:dyDescent="0.35">
      <c r="A460" s="1">
        <v>57040000</v>
      </c>
      <c r="B460">
        <v>0</v>
      </c>
      <c r="C460">
        <v>0</v>
      </c>
      <c r="D460">
        <v>0</v>
      </c>
      <c r="E460">
        <f t="shared" si="21"/>
        <v>0</v>
      </c>
      <c r="F460">
        <f t="shared" si="22"/>
        <v>0</v>
      </c>
      <c r="G460">
        <f t="shared" si="23"/>
        <v>0</v>
      </c>
    </row>
    <row r="461" spans="1:7" x14ac:dyDescent="0.35">
      <c r="A461" s="1">
        <v>60400000</v>
      </c>
      <c r="B461">
        <v>0</v>
      </c>
      <c r="C461">
        <v>0</v>
      </c>
      <c r="D461">
        <v>0</v>
      </c>
      <c r="E461">
        <f t="shared" si="21"/>
        <v>0</v>
      </c>
      <c r="F461">
        <f t="shared" si="22"/>
        <v>0</v>
      </c>
      <c r="G461">
        <f t="shared" si="23"/>
        <v>0</v>
      </c>
    </row>
    <row r="462" spans="1:7" x14ac:dyDescent="0.35">
      <c r="A462" s="1">
        <v>63750000</v>
      </c>
      <c r="B462">
        <v>0</v>
      </c>
      <c r="C462">
        <v>0</v>
      </c>
      <c r="D462">
        <v>0</v>
      </c>
      <c r="E462">
        <f t="shared" si="21"/>
        <v>0</v>
      </c>
      <c r="F462">
        <f t="shared" si="22"/>
        <v>0</v>
      </c>
      <c r="G462">
        <f t="shared" si="23"/>
        <v>0</v>
      </c>
    </row>
    <row r="463" spans="1:7" x14ac:dyDescent="0.35">
      <c r="A463" s="1">
        <v>67110000</v>
      </c>
      <c r="B463">
        <v>0</v>
      </c>
      <c r="C463">
        <v>0</v>
      </c>
      <c r="D463">
        <v>0</v>
      </c>
      <c r="E463">
        <f t="shared" si="21"/>
        <v>0</v>
      </c>
      <c r="F463">
        <f t="shared" si="22"/>
        <v>0</v>
      </c>
      <c r="G463">
        <f t="shared" si="23"/>
        <v>0</v>
      </c>
    </row>
    <row r="464" spans="1:7" x14ac:dyDescent="0.35">
      <c r="A464" s="1">
        <v>70460000</v>
      </c>
      <c r="B464">
        <v>0</v>
      </c>
      <c r="C464">
        <v>0</v>
      </c>
      <c r="D464">
        <v>0</v>
      </c>
      <c r="E464">
        <f t="shared" si="21"/>
        <v>0</v>
      </c>
      <c r="F464">
        <f t="shared" si="22"/>
        <v>0</v>
      </c>
      <c r="G464">
        <f t="shared" si="23"/>
        <v>0</v>
      </c>
    </row>
    <row r="465" spans="1:7" x14ac:dyDescent="0.35">
      <c r="A465" s="1">
        <v>73820000</v>
      </c>
      <c r="B465">
        <v>0</v>
      </c>
      <c r="C465">
        <v>0</v>
      </c>
      <c r="D465">
        <v>0</v>
      </c>
      <c r="E465">
        <f t="shared" si="21"/>
        <v>0</v>
      </c>
      <c r="F465">
        <f t="shared" si="22"/>
        <v>0</v>
      </c>
      <c r="G465">
        <f t="shared" si="23"/>
        <v>0</v>
      </c>
    </row>
    <row r="466" spans="1:7" x14ac:dyDescent="0.35">
      <c r="A466" s="1">
        <v>77180000</v>
      </c>
      <c r="B466">
        <v>0</v>
      </c>
      <c r="C466">
        <v>0</v>
      </c>
      <c r="D466">
        <v>0</v>
      </c>
      <c r="E466">
        <f t="shared" si="21"/>
        <v>0</v>
      </c>
      <c r="F466">
        <f t="shared" si="22"/>
        <v>0</v>
      </c>
      <c r="G466">
        <f t="shared" si="23"/>
        <v>0</v>
      </c>
    </row>
    <row r="467" spans="1:7" x14ac:dyDescent="0.35">
      <c r="A467" s="1">
        <v>80530000</v>
      </c>
      <c r="B467">
        <v>0</v>
      </c>
      <c r="C467">
        <v>0</v>
      </c>
      <c r="D467">
        <v>0</v>
      </c>
      <c r="E467">
        <f t="shared" si="21"/>
        <v>0</v>
      </c>
      <c r="F467">
        <f t="shared" si="22"/>
        <v>0</v>
      </c>
      <c r="G467">
        <f t="shared" si="23"/>
        <v>0</v>
      </c>
    </row>
    <row r="468" spans="1:7" x14ac:dyDescent="0.35">
      <c r="A468" s="1">
        <v>83890000</v>
      </c>
      <c r="B468">
        <v>0</v>
      </c>
      <c r="C468">
        <v>0</v>
      </c>
      <c r="D468">
        <v>0</v>
      </c>
      <c r="E468">
        <f t="shared" si="21"/>
        <v>0</v>
      </c>
      <c r="F468">
        <f t="shared" si="22"/>
        <v>0</v>
      </c>
      <c r="G468">
        <f t="shared" si="23"/>
        <v>0</v>
      </c>
    </row>
    <row r="469" spans="1:7" x14ac:dyDescent="0.35">
      <c r="A469" s="1">
        <v>87240000</v>
      </c>
      <c r="B469">
        <v>0</v>
      </c>
      <c r="C469">
        <v>0</v>
      </c>
      <c r="D469">
        <v>0</v>
      </c>
      <c r="E469">
        <f t="shared" si="21"/>
        <v>0</v>
      </c>
      <c r="F469">
        <f t="shared" si="22"/>
        <v>0</v>
      </c>
      <c r="G469">
        <f t="shared" si="23"/>
        <v>0</v>
      </c>
    </row>
    <row r="470" spans="1:7" x14ac:dyDescent="0.35">
      <c r="A470" s="1">
        <v>90600000</v>
      </c>
      <c r="B470">
        <v>0</v>
      </c>
      <c r="C470">
        <v>0</v>
      </c>
      <c r="D470">
        <v>0</v>
      </c>
      <c r="E470">
        <f t="shared" si="21"/>
        <v>0</v>
      </c>
      <c r="F470">
        <f t="shared" si="22"/>
        <v>0</v>
      </c>
      <c r="G470">
        <f t="shared" si="23"/>
        <v>0</v>
      </c>
    </row>
    <row r="471" spans="1:7" x14ac:dyDescent="0.35">
      <c r="A471" s="1">
        <v>93950000</v>
      </c>
      <c r="B471">
        <v>0</v>
      </c>
      <c r="C471">
        <v>0</v>
      </c>
      <c r="D471">
        <v>0</v>
      </c>
      <c r="E471">
        <f t="shared" si="21"/>
        <v>0</v>
      </c>
      <c r="F471">
        <f t="shared" si="22"/>
        <v>0</v>
      </c>
      <c r="G471">
        <f t="shared" si="23"/>
        <v>0</v>
      </c>
    </row>
    <row r="472" spans="1:7" x14ac:dyDescent="0.35">
      <c r="A472" s="1">
        <v>97310000</v>
      </c>
      <c r="B472">
        <v>0</v>
      </c>
      <c r="C472">
        <v>0</v>
      </c>
      <c r="D472">
        <v>0</v>
      </c>
      <c r="E472">
        <f t="shared" si="21"/>
        <v>0</v>
      </c>
      <c r="F472">
        <f t="shared" si="22"/>
        <v>0</v>
      </c>
      <c r="G472">
        <f t="shared" si="23"/>
        <v>0</v>
      </c>
    </row>
    <row r="473" spans="1:7" x14ac:dyDescent="0.35">
      <c r="A473" s="1">
        <v>100700000</v>
      </c>
      <c r="B473">
        <v>0</v>
      </c>
      <c r="C473">
        <v>0</v>
      </c>
      <c r="D473">
        <v>0</v>
      </c>
      <c r="E473">
        <f t="shared" si="21"/>
        <v>0</v>
      </c>
      <c r="F473">
        <f t="shared" si="22"/>
        <v>0</v>
      </c>
      <c r="G473">
        <f t="shared" si="23"/>
        <v>0</v>
      </c>
    </row>
    <row r="474" spans="1:7" x14ac:dyDescent="0.35">
      <c r="A474" s="1">
        <v>104000000</v>
      </c>
      <c r="B474">
        <v>0</v>
      </c>
      <c r="C474">
        <v>0</v>
      </c>
      <c r="D474">
        <v>0</v>
      </c>
      <c r="E474">
        <f t="shared" si="21"/>
        <v>0</v>
      </c>
      <c r="F474">
        <f t="shared" si="22"/>
        <v>0</v>
      </c>
      <c r="G474">
        <f t="shared" si="23"/>
        <v>0</v>
      </c>
    </row>
    <row r="475" spans="1:7" x14ac:dyDescent="0.35">
      <c r="A475" s="1">
        <v>107400000</v>
      </c>
      <c r="B475">
        <v>0</v>
      </c>
      <c r="C475">
        <v>0</v>
      </c>
      <c r="D475">
        <v>0</v>
      </c>
      <c r="E475">
        <f t="shared" si="21"/>
        <v>0</v>
      </c>
      <c r="F475">
        <f t="shared" si="22"/>
        <v>0</v>
      </c>
      <c r="G475">
        <f t="shared" si="23"/>
        <v>0</v>
      </c>
    </row>
    <row r="476" spans="1:7" x14ac:dyDescent="0.35">
      <c r="A476" s="1">
        <v>114100000</v>
      </c>
      <c r="B476">
        <v>0</v>
      </c>
      <c r="C476">
        <v>0</v>
      </c>
      <c r="D476">
        <v>0</v>
      </c>
      <c r="E476">
        <f t="shared" si="21"/>
        <v>0</v>
      </c>
      <c r="F476">
        <f t="shared" si="22"/>
        <v>0</v>
      </c>
      <c r="G476">
        <f t="shared" si="23"/>
        <v>0</v>
      </c>
    </row>
    <row r="477" spans="1:7" x14ac:dyDescent="0.35">
      <c r="A477" s="1">
        <v>120800000</v>
      </c>
      <c r="B477">
        <v>0</v>
      </c>
      <c r="C477">
        <v>0</v>
      </c>
      <c r="D477">
        <v>0</v>
      </c>
      <c r="E477">
        <f t="shared" si="21"/>
        <v>0</v>
      </c>
      <c r="F477">
        <f t="shared" si="22"/>
        <v>0</v>
      </c>
      <c r="G477">
        <f t="shared" si="23"/>
        <v>0</v>
      </c>
    </row>
    <row r="478" spans="1:7" x14ac:dyDescent="0.35">
      <c r="A478" s="1">
        <v>127500000</v>
      </c>
      <c r="B478">
        <v>0</v>
      </c>
      <c r="C478">
        <v>0</v>
      </c>
      <c r="D478">
        <v>0</v>
      </c>
      <c r="E478">
        <f t="shared" si="21"/>
        <v>0</v>
      </c>
      <c r="F478">
        <f t="shared" si="22"/>
        <v>0</v>
      </c>
      <c r="G478">
        <f t="shared" si="23"/>
        <v>0</v>
      </c>
    </row>
    <row r="479" spans="1:7" x14ac:dyDescent="0.35">
      <c r="A479" s="1">
        <v>134200000</v>
      </c>
      <c r="B479">
        <v>0</v>
      </c>
      <c r="C479">
        <v>0</v>
      </c>
      <c r="D479">
        <v>0</v>
      </c>
      <c r="E479">
        <f t="shared" si="21"/>
        <v>0</v>
      </c>
      <c r="F479">
        <f t="shared" si="22"/>
        <v>0</v>
      </c>
      <c r="G479">
        <f t="shared" si="23"/>
        <v>0</v>
      </c>
    </row>
    <row r="480" spans="1:7" x14ac:dyDescent="0.35">
      <c r="A480" s="1">
        <v>140900000</v>
      </c>
      <c r="B480">
        <v>0</v>
      </c>
      <c r="C480">
        <v>0</v>
      </c>
      <c r="D480">
        <v>0</v>
      </c>
      <c r="E480">
        <f t="shared" si="21"/>
        <v>0</v>
      </c>
      <c r="F480">
        <f t="shared" si="22"/>
        <v>0</v>
      </c>
      <c r="G480">
        <f t="shared" si="23"/>
        <v>0</v>
      </c>
    </row>
    <row r="481" spans="1:7" x14ac:dyDescent="0.35">
      <c r="A481" s="1">
        <v>147600000</v>
      </c>
      <c r="B481">
        <v>0</v>
      </c>
      <c r="C481">
        <v>0</v>
      </c>
      <c r="D481">
        <v>0</v>
      </c>
      <c r="E481">
        <f t="shared" si="21"/>
        <v>0</v>
      </c>
      <c r="F481">
        <f t="shared" si="22"/>
        <v>0</v>
      </c>
      <c r="G481">
        <f t="shared" si="23"/>
        <v>0</v>
      </c>
    </row>
    <row r="482" spans="1:7" x14ac:dyDescent="0.35">
      <c r="A482" s="1">
        <v>154400000</v>
      </c>
      <c r="B482">
        <v>0</v>
      </c>
      <c r="C482">
        <v>0</v>
      </c>
      <c r="D482">
        <v>0</v>
      </c>
      <c r="E482">
        <f t="shared" si="21"/>
        <v>0</v>
      </c>
      <c r="F482">
        <f t="shared" si="22"/>
        <v>0</v>
      </c>
      <c r="G482">
        <f t="shared" si="23"/>
        <v>0</v>
      </c>
    </row>
    <row r="483" spans="1:7" x14ac:dyDescent="0.35">
      <c r="A483" s="1">
        <v>161100000</v>
      </c>
      <c r="B483">
        <v>0</v>
      </c>
      <c r="C483">
        <v>0</v>
      </c>
      <c r="D483">
        <v>0</v>
      </c>
      <c r="E483">
        <f t="shared" si="21"/>
        <v>0</v>
      </c>
      <c r="F483">
        <f t="shared" si="22"/>
        <v>0</v>
      </c>
      <c r="G483">
        <f t="shared" si="23"/>
        <v>0</v>
      </c>
    </row>
    <row r="484" spans="1:7" x14ac:dyDescent="0.35">
      <c r="A484" s="1">
        <v>167800000</v>
      </c>
      <c r="B484">
        <v>0</v>
      </c>
      <c r="C484">
        <v>0</v>
      </c>
      <c r="D484">
        <v>0</v>
      </c>
      <c r="E484">
        <f t="shared" si="21"/>
        <v>0</v>
      </c>
      <c r="F484">
        <f t="shared" si="22"/>
        <v>0</v>
      </c>
      <c r="G484">
        <f t="shared" si="23"/>
        <v>0</v>
      </c>
    </row>
    <row r="485" spans="1:7" x14ac:dyDescent="0.35">
      <c r="A485" s="1">
        <v>174500000</v>
      </c>
      <c r="B485">
        <v>0</v>
      </c>
      <c r="C485">
        <v>0</v>
      </c>
      <c r="D485">
        <v>0</v>
      </c>
      <c r="E485">
        <f t="shared" si="21"/>
        <v>0</v>
      </c>
      <c r="F485">
        <f t="shared" si="22"/>
        <v>0</v>
      </c>
      <c r="G485">
        <f t="shared" si="23"/>
        <v>0</v>
      </c>
    </row>
    <row r="486" spans="1:7" x14ac:dyDescent="0.35">
      <c r="A486" s="1">
        <v>181200000</v>
      </c>
      <c r="B486">
        <v>0</v>
      </c>
      <c r="C486">
        <v>0</v>
      </c>
      <c r="D486">
        <v>0</v>
      </c>
      <c r="E486">
        <f t="shared" si="21"/>
        <v>0</v>
      </c>
      <c r="F486">
        <f t="shared" si="22"/>
        <v>0</v>
      </c>
      <c r="G486">
        <f t="shared" si="23"/>
        <v>0</v>
      </c>
    </row>
    <row r="487" spans="1:7" x14ac:dyDescent="0.35">
      <c r="A487" s="1">
        <v>187900000</v>
      </c>
      <c r="B487">
        <v>0</v>
      </c>
      <c r="C487">
        <v>0</v>
      </c>
      <c r="D487">
        <v>0</v>
      </c>
      <c r="E487">
        <f t="shared" si="21"/>
        <v>0</v>
      </c>
      <c r="F487">
        <f t="shared" si="22"/>
        <v>0</v>
      </c>
      <c r="G487">
        <f t="shared" si="23"/>
        <v>0</v>
      </c>
    </row>
    <row r="488" spans="1:7" x14ac:dyDescent="0.35">
      <c r="A488" s="1">
        <v>194600000</v>
      </c>
      <c r="B488">
        <v>0</v>
      </c>
      <c r="C488">
        <v>0</v>
      </c>
      <c r="D488">
        <v>0</v>
      </c>
      <c r="E488">
        <f t="shared" si="21"/>
        <v>0</v>
      </c>
      <c r="F488">
        <f t="shared" si="22"/>
        <v>0</v>
      </c>
      <c r="G488">
        <f t="shared" si="23"/>
        <v>0</v>
      </c>
    </row>
    <row r="489" spans="1:7" x14ac:dyDescent="0.35">
      <c r="A489" s="1">
        <v>201300000</v>
      </c>
      <c r="B489">
        <v>0</v>
      </c>
      <c r="C489">
        <v>0</v>
      </c>
      <c r="D489">
        <v>0</v>
      </c>
      <c r="E489">
        <f t="shared" si="21"/>
        <v>0</v>
      </c>
      <c r="F489">
        <f t="shared" si="22"/>
        <v>0</v>
      </c>
      <c r="G489">
        <f t="shared" si="23"/>
        <v>0</v>
      </c>
    </row>
    <row r="490" spans="1:7" x14ac:dyDescent="0.35">
      <c r="A490" s="1">
        <v>208000000</v>
      </c>
      <c r="B490">
        <v>0</v>
      </c>
      <c r="C490">
        <v>0</v>
      </c>
      <c r="D490">
        <v>0</v>
      </c>
      <c r="E490">
        <f t="shared" si="21"/>
        <v>0</v>
      </c>
      <c r="F490">
        <f t="shared" si="22"/>
        <v>0</v>
      </c>
      <c r="G490">
        <f t="shared" si="23"/>
        <v>0</v>
      </c>
    </row>
    <row r="491" spans="1:7" x14ac:dyDescent="0.35">
      <c r="A491" s="1">
        <v>214700000</v>
      </c>
      <c r="B491">
        <v>0</v>
      </c>
      <c r="C491">
        <v>0</v>
      </c>
      <c r="D491">
        <v>0</v>
      </c>
      <c r="E491">
        <f t="shared" si="21"/>
        <v>0</v>
      </c>
      <c r="F491">
        <f t="shared" si="22"/>
        <v>0</v>
      </c>
      <c r="G491">
        <f t="shared" si="2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size intensity</vt:lpstr>
      <vt:lpstr>size number</vt:lpstr>
      <vt:lpstr>volume size</vt:lpstr>
      <vt:lpstr>autocorrelation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Lea Mourot</cp:lastModifiedBy>
  <dcterms:created xsi:type="dcterms:W3CDTF">2025-03-15T13:59:24Z</dcterms:created>
  <dcterms:modified xsi:type="dcterms:W3CDTF">2025-03-19T23:09:13Z</dcterms:modified>
</cp:coreProperties>
</file>